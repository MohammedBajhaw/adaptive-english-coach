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iculum" sheetId="1" state="visible" r:id="rId3"/>
    <sheet name="All Terms" sheetId="2" state="visible" r:id="rId4"/>
    <sheet name="S1 Fundamentals" sheetId="3" state="visible" r:id="rId5"/>
    <sheet name="S2 Control &amp; Motion" sheetId="4" state="visible" r:id="rId6"/>
    <sheet name="S3 Motors &amp; Sensors" sheetId="5" state="visible" r:id="rId7"/>
    <sheet name="S4 Embedded Systems" sheetId="6" state="visible" r:id="rId8"/>
    <sheet name="S5 Industrial Automation" sheetId="7" state="visible" r:id="rId9"/>
    <sheet name="S6 Robot Operation" sheetId="8" state="visible" r:id="rId10"/>
    <sheet name="S7 Troubleshoot &amp; Interview" sheetId="9" state="visible" r:id="rId11"/>
    <sheet name="Interview Q&amp;A" sheetId="10" state="visible" r:id="rId12"/>
    <sheet name="Troubleshooting Guide" sheetId="11" state="visible" r:id="rId13"/>
    <sheet name="Sources &amp; Copyright" sheetId="12" state="visible" r:id="rId14"/>
  </sheets>
  <definedNames>
    <definedName function="false" hidden="false" localSheetId="1" name="_xlnm.Print_Titles" vbProcedure="false">'All Terms'!$4:$4</definedName>
    <definedName function="false" hidden="true" localSheetId="1" name="_xlnm._FilterDatabase" vbProcedure="false">'All Terms'!$A$4:$S$436</definedName>
    <definedName function="false" hidden="true" localSheetId="9" name="_xlnm._FilterDatabase" vbProcedure="false">'Interview Q&amp;A'!$A$4:$H$25</definedName>
    <definedName function="false" hidden="false" localSheetId="2" name="_xlnm.Print_Titles" vbProcedure="false">'S1 Fundamentals'!$4:$4</definedName>
    <definedName function="false" hidden="true" localSheetId="2" name="_xlnm._FilterDatabase" vbProcedure="false">'S1 Fundamentals'!$A$4:$S$104</definedName>
    <definedName function="false" hidden="false" localSheetId="3" name="_xlnm.Print_Titles" vbProcedure="false">'S2 Control &amp; Motion'!$4:$4</definedName>
    <definedName function="false" hidden="true" localSheetId="3" name="_xlnm._FilterDatabase" vbProcedure="false">'S2 Control &amp; Motion'!$A$4:$S$114</definedName>
    <definedName function="false" hidden="false" localSheetId="4" name="_xlnm.Print_Titles" vbProcedure="false">'S3 Motors &amp; Sensors'!$4:$4</definedName>
    <definedName function="false" hidden="true" localSheetId="4" name="_xlnm._FilterDatabase" vbProcedure="false">'S3 Motors &amp; Sensors'!$A$4:$S$80</definedName>
    <definedName function="false" hidden="false" localSheetId="5" name="_xlnm.Print_Titles" vbProcedure="false">'S4 Embedded Systems'!$4:$4</definedName>
    <definedName function="false" hidden="true" localSheetId="5" name="_xlnm._FilterDatabase" vbProcedure="false">'S4 Embedded Systems'!$A$4:$S$33</definedName>
    <definedName function="false" hidden="false" localSheetId="6" name="_xlnm.Print_Titles" vbProcedure="false">'S5 Industrial Automation'!$4:$4</definedName>
    <definedName function="false" hidden="true" localSheetId="6" name="_xlnm._FilterDatabase" vbProcedure="false">'S5 Industrial Automation'!$A$4:$S$56</definedName>
    <definedName function="false" hidden="false" localSheetId="7" name="_xlnm.Print_Titles" vbProcedure="false">'S6 Robot Operation'!$4:$4</definedName>
    <definedName function="false" hidden="true" localSheetId="7" name="_xlnm._FilterDatabase" vbProcedure="false">'S6 Robot Operation'!$A$4:$S$53</definedName>
    <definedName function="false" hidden="false" localSheetId="8" name="_xlnm.Print_Titles" vbProcedure="false">'S7 Troubleshoot &amp; Interview'!$4:$4</definedName>
    <definedName function="false" hidden="true" localSheetId="8" name="_xlnm._FilterDatabase" vbProcedure="false">'S7 Troubleshoot &amp; Interview'!$A$4:$S$20</definedName>
    <definedName function="false" hidden="true" localSheetId="10" name="_xlnm._FilterDatabase" vbProcedure="false">'Troubleshooting Guide'!$A$4:$I$19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<sst xmlns="http://schemas.openxmlformats.org/spreadsheetml/2006/main" count="14577" uniqueCount="4371">
  <si>
    <t xml:space="preserve">Mechatronics &amp; Robotics English Vocabulary — المنهج الكامل</t>
  </si>
  <si>
    <t xml:space="preserve">7-stage learning path: Robotics Fundamentals → Control &amp; Motion → Motors &amp; Sensors → Embedded Systems → Industrial Automation → Robot Operation → Troubleshooting &amp; Job Interviews</t>
  </si>
  <si>
    <t xml:space="preserve">Stage #</t>
  </si>
  <si>
    <t xml:space="preserve">Stage</t>
  </si>
  <si>
    <t xml:space="preserve">المرحلة</t>
  </si>
  <si>
    <t xml:space="preserve">What you learn</t>
  </si>
  <si>
    <t xml:space="preserve">ماذا ستتعلم</t>
  </si>
  <si>
    <t xml:space="preserve">Terms</t>
  </si>
  <si>
    <t xml:space="preserve">Beginner</t>
  </si>
  <si>
    <t xml:space="preserve">Intermediate</t>
  </si>
  <si>
    <t xml:space="preserve">Advanced</t>
  </si>
  <si>
    <t xml:space="preserve">Go to sheet</t>
  </si>
  <si>
    <t xml:space="preserve">Robotics Fundamentals</t>
  </si>
  <si>
    <t xml:space="preserve">أساسيات الروبوتات</t>
  </si>
  <si>
    <t xml:space="preserve">What a robot is: parts, joints, robot types, basic geometry and terms.</t>
  </si>
  <si>
    <t xml:space="preserve">ما هو الروبوت: أجزاؤه ومفاصله وأنواعه والمصطلحات والهندسة الأساسية.</t>
  </si>
  <si>
    <t xml:space="preserve">S1 Fundamentals</t>
  </si>
  <si>
    <t xml:space="preserve">Control &amp; Motion</t>
  </si>
  <si>
    <t xml:space="preserve">التحكم والحركة</t>
  </si>
  <si>
    <t xml:space="preserve">Kinematics, feedback, PID, paths, trajectories, accuracy and the math behind them.</t>
  </si>
  <si>
    <t xml:space="preserve">الكينماتيكا والتغذية الراجعة وPID والمسارات والدقة والرياضيات المرتبطة بها.</t>
  </si>
  <si>
    <t xml:space="preserve">S2 Control &amp; Motion</t>
  </si>
  <si>
    <t xml:space="preserve">Motors &amp; Sensors</t>
  </si>
  <si>
    <t xml:space="preserve">المحركات والحساسات</t>
  </si>
  <si>
    <t xml:space="preserve">Actuators, motors, drives, gears, encoders and all kinds of sensors.</t>
  </si>
  <si>
    <t xml:space="preserve">المشغّلات والمحركات والمخفضات والتروس والمُرمِّزات وأنواع الحساسات.</t>
  </si>
  <si>
    <t xml:space="preserve">S3 Motors &amp; Sensors</t>
  </si>
  <si>
    <t xml:space="preserve">Embedded Systems</t>
  </si>
  <si>
    <t xml:space="preserve">الأنظمة المضمنة</t>
  </si>
  <si>
    <t xml:space="preserve">Microcontrollers, firmware, interrupts, electronics, and controller hardware.</t>
  </si>
  <si>
    <t xml:space="preserve">المتحكمات الدقيقة والبرامج الثابتة والمقاطعات والإلكترونيات وعتاد المتحكم.</t>
  </si>
  <si>
    <t xml:space="preserve">S4 Embedded Systems</t>
  </si>
  <si>
    <t xml:space="preserve">Industrial Automation</t>
  </si>
  <si>
    <t xml:space="preserve">الأتمتة الصناعية</t>
  </si>
  <si>
    <t xml:space="preserve">PLCs, work cells, integrators, tooling, and real factory applications.</t>
  </si>
  <si>
    <t xml:space="preserve">المتحكمات المنطقية وخلايا العمل والمُكامِلون والأدوات والتطبيقات المصنعية.</t>
  </si>
  <si>
    <t xml:space="preserve">S5 Industrial Automation</t>
  </si>
  <si>
    <t xml:space="preserve">Robot Operation</t>
  </si>
  <si>
    <t xml:space="preserve">تشغيل الروبوتات</t>
  </si>
  <si>
    <t xml:space="preserve">Programming, teaching, operating modes, safety rules and specifications.</t>
  </si>
  <si>
    <t xml:space="preserve">البرمجة والتعليم وأنماط التشغيل وقواعد السلامة والمواصفات.</t>
  </si>
  <si>
    <t xml:space="preserve">S6 Robot Operation</t>
  </si>
  <si>
    <t xml:space="preserve">Troubleshooting &amp; Job Interviews</t>
  </si>
  <si>
    <t xml:space="preserve">استكشاف الأعطال والمقابلات المهنية</t>
  </si>
  <si>
    <t xml:space="preserve">Maintenance, downtime, faults, reliability, quality, and typical interview terms.</t>
  </si>
  <si>
    <t xml:space="preserve">الصيانة والتوقف والأعطال والموثوقية والجودة ومصطلحات المقابلات المعتادة.</t>
  </si>
  <si>
    <t xml:space="preserve">S7 Troubleshoot &amp; Interview</t>
  </si>
  <si>
    <t xml:space="preserve">Total</t>
  </si>
  <si>
    <t xml:space="preserve">المجموع</t>
  </si>
  <si>
    <t xml:space="preserve">Column guide / شرح الأعمدة</t>
  </si>
  <si>
    <t xml:space="preserve">content_id</t>
  </si>
  <si>
    <t xml:space="preserve">Permanent ID, e.g. S3-SENS-014 = stage 3, category SENS, item 14. Never renumber it.</t>
  </si>
  <si>
    <t xml:space="preserve">Term / Arabic meaning</t>
  </si>
  <si>
    <t xml:space="preserve">The English term and its Arabic meaning</t>
  </si>
  <si>
    <t xml:space="preserve">Pronunciation</t>
  </si>
  <si>
    <t xml:space="preserve">Simple English respelling; capital letters = stressed syllable</t>
  </si>
  <si>
    <t xml:space="preserve">Category</t>
  </si>
  <si>
    <t xml:space="preserve">Topic of the term (Kinematics, Sensors, Safety...)</t>
  </si>
  <si>
    <t xml:space="preserve">Simple English definition</t>
  </si>
  <si>
    <t xml:space="preserve">Short, plain-English explanation</t>
  </si>
  <si>
    <t xml:space="preserve">Example 1 / 2</t>
  </si>
  <si>
    <t xml:space="preserve">Two example sentences, each with an Arabic translation</t>
  </si>
  <si>
    <t xml:space="preserve">Difficulty level</t>
  </si>
  <si>
    <t xml:space="preserve">Beginner / Intermediate / Advanced</t>
  </si>
  <si>
    <t xml:space="preserve">Interview priority</t>
  </si>
  <si>
    <t xml:space="preserve">High = used in the Interview Q&amp;A or Troubleshooting Guide, or key career vocabulary</t>
  </si>
  <si>
    <t xml:space="preserve">Linked Q&amp;A / troubleshooting</t>
  </si>
  <si>
    <t xml:space="preserve">IDs of interview questions and fault cases that use this term</t>
  </si>
  <si>
    <t xml:space="preserve">Source / source_url</t>
  </si>
  <si>
    <t xml:space="preserve">Which of the 3 sources the term came from, and the link</t>
  </si>
  <si>
    <t xml:space="preserve">Copyright/source note</t>
  </si>
  <si>
    <t xml:space="preserve">What was taken from the source and what is original</t>
  </si>
  <si>
    <t xml:space="preserve">All Terms — جميع المصطلحات (sorted by curriculum stage, then level)</t>
  </si>
  <si>
    <t xml:space="preserve">432 unique terms merged from 3 sources. Use the filter arrows on row 4 to filter by stage, level, category, priority or source.</t>
  </si>
  <si>
    <t xml:space="preserve">#</t>
  </si>
  <si>
    <t xml:space="preserve">Term</t>
  </si>
  <si>
    <t xml:space="preserve">Arabic meaning</t>
  </si>
  <si>
    <t xml:space="preserve">Example 1</t>
  </si>
  <si>
    <t xml:space="preserve">Arabic translation 1</t>
  </si>
  <si>
    <t xml:space="preserve">Example 2</t>
  </si>
  <si>
    <t xml:space="preserve">Arabic translation 2</t>
  </si>
  <si>
    <t xml:space="preserve">Curriculum stage</t>
  </si>
  <si>
    <t xml:space="preserve">Source</t>
  </si>
  <si>
    <t xml:space="preserve">source_url</t>
  </si>
  <si>
    <t xml:space="preserve">S1-KINE-001</t>
  </si>
  <si>
    <t xml:space="preserve">Acceleration</t>
  </si>
  <si>
    <t xml:space="preserve">التسارع</t>
  </si>
  <si>
    <t xml:space="preserve">ak-sel-er-AY-shun</t>
  </si>
  <si>
    <t xml:space="preserve">Kinematics</t>
  </si>
  <si>
    <t xml:space="preserve">A change in how fast something moves or in its direction of travel.</t>
  </si>
  <si>
    <t xml:space="preserve">The robot needs high acceleration to move quickly.</t>
  </si>
  <si>
    <t xml:space="preserve">يحتاج الروبوت إلى تسارع عالٍ ليتحرك بسرعة.</t>
  </si>
  <si>
    <t xml:space="preserve">Acceleration is the change of velocity over time.</t>
  </si>
  <si>
    <t xml:space="preserve">التسارع هو تغير السرعة عبر الزمن.</t>
  </si>
  <si>
    <t xml:space="preserve">1 – Robotics Fundamentals | أساسيات الروبوتات</t>
  </si>
  <si>
    <t xml:space="preserve">Normal</t>
  </si>
  <si>
    <t xml:space="preserve">FutureLearn (Univ. of Reading)</t>
  </si>
  <si>
    <t xml:space="preserve">https://ugc.futurelearn.com/uploads/files/7a/0f/7a0fcf86-09f0-4ebf-a134-02b1290a950e/Glossary.pdf</t>
  </si>
  <si>
    <t xml:space="preserve">Definition paraphrased from the listed source(s); pronunciation, Arabic, examples and level are original additions.</t>
  </si>
  <si>
    <t xml:space="preserve">S1-PROG-001</t>
  </si>
  <si>
    <t xml:space="preserve">Algorithm</t>
  </si>
  <si>
    <t xml:space="preserve">خوارزمية</t>
  </si>
  <si>
    <t xml:space="preserve">AL-guh-rith-um</t>
  </si>
  <si>
    <t xml:space="preserve">Programming</t>
  </si>
  <si>
    <t xml:space="preserve">A set of steps for solving a problem.</t>
  </si>
  <si>
    <t xml:space="preserve">The algorithm tells the robot how to find the shortest path.</t>
  </si>
  <si>
    <t xml:space="preserve">تخبر الخوارزمية الروبوت كيف يجد أقصر مسار.</t>
  </si>
  <si>
    <t xml:space="preserve">We improved the algorithm to reduce the calculation time.</t>
  </si>
  <si>
    <t xml:space="preserve">حسّنا الخوارزمية لتقليل زمن الحساب.</t>
  </si>
  <si>
    <t xml:space="preserve">FutureLearn (Univ. of Reading) + Productivity Inc</t>
  </si>
  <si>
    <t xml:space="preserve">https://ugc.futurelearn.com/uploads/files/7a/0f/7a0fcf86-09f0-4ebf-a134-02b1290a950e/Glossary.pdf | https://www.productivity.com/wp-content/uploads/2015/04/PI_RoboticGlossaryTerms.pdf</t>
  </si>
  <si>
    <t xml:space="preserve">S1-ROBT-001</t>
  </si>
  <si>
    <t xml:space="preserve">Android</t>
  </si>
  <si>
    <t xml:space="preserve">روبوت شبيه بالإنسان (أندرويد)</t>
  </si>
  <si>
    <t xml:space="preserve">AN-droyd</t>
  </si>
  <si>
    <t xml:space="preserve">Robot Types</t>
  </si>
  <si>
    <t xml:space="preserve">A robot that resembles a human to some degree.</t>
  </si>
  <si>
    <t xml:space="preserve">An android is a robot that looks like a human.</t>
  </si>
  <si>
    <t xml:space="preserve">الأندرويد روبوت يشبه الإنسان.</t>
  </si>
  <si>
    <t xml:space="preserve">The museum has an android that greets visitors.</t>
  </si>
  <si>
    <t xml:space="preserve">لدى المتحف روبوت شبيه بالإنسان يستقبل الزوار.</t>
  </si>
  <si>
    <t xml:space="preserve">S1-MECH-001</t>
  </si>
  <si>
    <t xml:space="preserve">Arm</t>
  </si>
  <si>
    <t xml:space="preserve">الذراع</t>
  </si>
  <si>
    <t xml:space="preserve">ARM</t>
  </si>
  <si>
    <t xml:space="preserve">Mechanical</t>
  </si>
  <si>
    <t xml:space="preserve">The linked, powered segments of a manipulator that move the wrist and end-effector, excluding the end-effector itself.</t>
  </si>
  <si>
    <t xml:space="preserve">The robot arm can lift up to ten kilograms.</t>
  </si>
  <si>
    <t xml:space="preserve">يستطيع ذراع الروبوت رفع ما يصل إلى عشرة كيلوغرامات.</t>
  </si>
  <si>
    <t xml:space="preserve">The arm has six joints and a gripper at its end.</t>
  </si>
  <si>
    <t xml:space="preserve">للذراع ستة مفاصل وقابض في نهايتها.</t>
  </si>
  <si>
    <t xml:space="preserve">Productivity Inc</t>
  </si>
  <si>
    <t xml:space="preserve">https://www.productivity.com/wp-content/uploads/2015/04/PI_RoboticGlossaryTerms.pdf</t>
  </si>
  <si>
    <t xml:space="preserve">S1-CMAI-001</t>
  </si>
  <si>
    <t xml:space="preserve">Artificial Intelligence</t>
  </si>
  <si>
    <t xml:space="preserve">الذكاء الاصطناعي</t>
  </si>
  <si>
    <t xml:space="preserve">ar-tih-FISH-ul in-TEL-ih-juns</t>
  </si>
  <si>
    <t xml:space="preserve">Computing &amp; AI</t>
  </si>
  <si>
    <t xml:space="preserve">Intelligence shown by a machine.</t>
  </si>
  <si>
    <t xml:space="preserve">Artificial intelligence lets machines learn from data.</t>
  </si>
  <si>
    <t xml:space="preserve">يتيح الذكاء الاصطناعي للآلات التعلم من البيانات.</t>
  </si>
  <si>
    <t xml:space="preserve">Modern robots use artificial intelligence to recognize objects.</t>
  </si>
  <si>
    <t xml:space="preserve">تستخدم الروبوتات الحديثة الذكاء الاصطناعي للتعرف على الأجسام.</t>
  </si>
  <si>
    <t xml:space="preserve">S1-ROBT-003</t>
  </si>
  <si>
    <t xml:space="preserve">Autonomous</t>
  </si>
  <si>
    <t xml:space="preserve">ذاتي التشغيل / مستقل</t>
  </si>
  <si>
    <t xml:space="preserve">aw-TON-uh-mus</t>
  </si>
  <si>
    <t xml:space="preserve">Procedures that run without worker involvement and follow pre-programmed operations.</t>
  </si>
  <si>
    <t xml:space="preserve">An autonomous robot makes its own decisions without a human.</t>
  </si>
  <si>
    <t xml:space="preserve">يتخذ الروبوت الذاتي التشغيل قراراته بنفسه دون إنسان.</t>
  </si>
  <si>
    <t xml:space="preserve">Autonomous vehicles use sensors to avoid obstacles.</t>
  </si>
  <si>
    <t xml:space="preserve">تستخدم المركبات ذاتية القيادة الحساسات لتجنب العوائق.</t>
  </si>
  <si>
    <t xml:space="preserve">S1-KINE-002</t>
  </si>
  <si>
    <t xml:space="preserve">Axis</t>
  </si>
  <si>
    <t xml:space="preserve">محور</t>
  </si>
  <si>
    <t xml:space="preserve">AK-sis</t>
  </si>
  <si>
    <t xml:space="preserve">A direction or line of rotation along which a robot moves; most industrial robots have four or six.</t>
  </si>
  <si>
    <t xml:space="preserve">This robot has six axes of movement.</t>
  </si>
  <si>
    <t xml:space="preserve">لهذا الروبوت ستة محاور للحركة.</t>
  </si>
  <si>
    <t xml:space="preserve">Each axis is driven by its own servo motor.</t>
  </si>
  <si>
    <t xml:space="preserve">يُدار كل محور بمحرك مؤازر خاص به.</t>
  </si>
  <si>
    <t xml:space="preserve">High</t>
  </si>
  <si>
    <t xml:space="preserve">S7-INTV-002</t>
  </si>
  <si>
    <t xml:space="preserve">S1-MECH-003</t>
  </si>
  <si>
    <t xml:space="preserve">Base</t>
  </si>
  <si>
    <t xml:space="preserve">القاعدة</t>
  </si>
  <si>
    <t xml:space="preserve">BAYSS</t>
  </si>
  <si>
    <t xml:space="preserve">The stable platform to which a robotic arm is attached.</t>
  </si>
  <si>
    <t xml:space="preserve">The robot arm is bolted to a stable base.</t>
  </si>
  <si>
    <t xml:space="preserve">الذراع الآلية مثبّتة بمسامير على قاعدة ثابتة.</t>
  </si>
  <si>
    <t xml:space="preserve">The base must be level before installation.</t>
  </si>
  <si>
    <t xml:space="preserve">يجب أن تكون القاعدة مستوية قبل التركيب.</t>
  </si>
  <si>
    <t xml:space="preserve">S1-SWDS-001</t>
  </si>
  <si>
    <t xml:space="preserve">CAD (Computer-Aided Design)</t>
  </si>
  <si>
    <t xml:space="preserve">التصميم بمساعدة الحاسوب</t>
  </si>
  <si>
    <t xml:space="preserve">KAD</t>
  </si>
  <si>
    <t xml:space="preserve">Software &amp; Design</t>
  </si>
  <si>
    <t xml:space="preserve">Software for designing manufacturable parts, creating schematics, and simulating stresses on them.</t>
  </si>
  <si>
    <t xml:space="preserve">We drew the gripper in CAD before building it.</t>
  </si>
  <si>
    <t xml:space="preserve">رسمنا القابض في برنامج التصميم بمساعدة الحاسوب قبل تصنيعه.</t>
  </si>
  <si>
    <t xml:space="preserve">CAD software can simulate stress on a part.</t>
  </si>
  <si>
    <t xml:space="preserve">يستطيع برنامج التصميم بمساعدة الحاسوب محاكاة الإجهاد على القطعة.</t>
  </si>
  <si>
    <t xml:space="preserve">S1-ROBT-006</t>
  </si>
  <si>
    <t xml:space="preserve">Cartesian Robot</t>
  </si>
  <si>
    <t xml:space="preserve">روبوت ديكارتي</t>
  </si>
  <si>
    <t xml:space="preserve">kar-TEE-zhun ROH-bot</t>
  </si>
  <si>
    <t xml:space="preserve">A robot whose three linear joints run in the directions of a Cartesian coordinate system.</t>
  </si>
  <si>
    <t xml:space="preserve">A Cartesian robot has three linear axes.</t>
  </si>
  <si>
    <t xml:space="preserve">للروبوت الديكارتي ثلاثة محاور خطية.</t>
  </si>
  <si>
    <t xml:space="preserve">We used a Cartesian robot to stack boxes.</t>
  </si>
  <si>
    <t xml:space="preserve">استخدمنا روبوتاً ديكارتياً لتكديس الصناديق.</t>
  </si>
  <si>
    <t xml:space="preserve">S1-MECH-004</t>
  </si>
  <si>
    <t xml:space="preserve">Chassis</t>
  </si>
  <si>
    <t xml:space="preserve">الهيكل</t>
  </si>
  <si>
    <t xml:space="preserve">SHAS-ee</t>
  </si>
  <si>
    <t xml:space="preserve">The framework and internal parts of a machine, excluding its body or casing.</t>
  </si>
  <si>
    <t xml:space="preserve">The motors and batteries are mounted on the chassis.</t>
  </si>
  <si>
    <t xml:space="preserve">المحركات والبطاريات مركّبة على الهيكل.</t>
  </si>
  <si>
    <t xml:space="preserve">A strong chassis protects the electronics.</t>
  </si>
  <si>
    <t xml:space="preserve">الهيكل المتين يحمي الإلكترونيات.</t>
  </si>
  <si>
    <t xml:space="preserve">S1-KINE-003</t>
  </si>
  <si>
    <t xml:space="preserve">Coordinates</t>
  </si>
  <si>
    <t xml:space="preserve">الإحداثيات</t>
  </si>
  <si>
    <t xml:space="preserve">koh-OR-dih-nits</t>
  </si>
  <si>
    <t xml:space="preserve">A set of numbers that describes a position in two or three dimensions.</t>
  </si>
  <si>
    <t xml:space="preserve">The coordinates give the position of the point.</t>
  </si>
  <si>
    <t xml:space="preserve">تعطي الإحداثيات موضع النقطة.</t>
  </si>
  <si>
    <t xml:space="preserve">Enter the coordinates in millimeters.</t>
  </si>
  <si>
    <t xml:space="preserve">أدخل الإحداثيات بالملّيمترات.</t>
  </si>
  <si>
    <t xml:space="preserve">S1-ROBT-009</t>
  </si>
  <si>
    <t xml:space="preserve">Cyborg</t>
  </si>
  <si>
    <t xml:space="preserve">سايبورغ (كائن سيبراني)</t>
  </si>
  <si>
    <t xml:space="preserve">SY-borg</t>
  </si>
  <si>
    <t xml:space="preserve">An organism combining biological and mechanical or electronic parts.</t>
  </si>
  <si>
    <t xml:space="preserve">A cyborg combines a living body with machine parts.</t>
  </si>
  <si>
    <t xml:space="preserve">يجمع السايبورغ بين جسم حي وأجزاء آلية.</t>
  </si>
  <si>
    <t xml:space="preserve">Science fiction often shows cyborgs with robotic arms.</t>
  </si>
  <si>
    <t xml:space="preserve">يعرض الخيال العلمي غالباً سايبورغ بأذرع آلية.</t>
  </si>
  <si>
    <t xml:space="preserve">S1-FUND-001</t>
  </si>
  <si>
    <t xml:space="preserve">Degrees</t>
  </si>
  <si>
    <t xml:space="preserve">الدرجات</t>
  </si>
  <si>
    <t xml:space="preserve">dih-GREEZ</t>
  </si>
  <si>
    <t xml:space="preserve">Fundamentals</t>
  </si>
  <si>
    <t xml:space="preserve">A unit for measuring angles, where a full turn is 360 degrees.</t>
  </si>
  <si>
    <t xml:space="preserve">A full circle has 360 degrees.</t>
  </si>
  <si>
    <t xml:space="preserve">للدائرة الكاملة 360 درجة.</t>
  </si>
  <si>
    <t xml:space="preserve">The joint rotates 90 degrees.</t>
  </si>
  <si>
    <t xml:space="preserve">يدور المفصل 90 درجة.</t>
  </si>
  <si>
    <t xml:space="preserve">S1-KINE-004</t>
  </si>
  <si>
    <t xml:space="preserve">Degrees of Freedom (DOF)</t>
  </si>
  <si>
    <t xml:space="preserve">درجات الحرية</t>
  </si>
  <si>
    <t xml:space="preserve">dih-GREEZ uv FREE-dum</t>
  </si>
  <si>
    <t xml:space="preserve">The number of independent parameters needed to define a system's position and orientation.</t>
  </si>
  <si>
    <t xml:space="preserve">This robot has six degrees of freedom.</t>
  </si>
  <si>
    <t xml:space="preserve">لهذا الروبوت ست درجات حرية.</t>
  </si>
  <si>
    <t xml:space="preserve">More degrees of freedom give more flexibility but harder control.</t>
  </si>
  <si>
    <t xml:space="preserve">مزيد من درجات الحرية يعطي مرونة أكبر لكن تحكماً أصعب.</t>
  </si>
  <si>
    <t xml:space="preserve">Engineers Universe + FutureLearn (Univ. of Reading) + Productivity Inc</t>
  </si>
  <si>
    <t xml:space="preserve">https://engineersuniverse.com/studios/mechatronics/mechatronics-terminology-glossary | https://ugc.futurelearn.com/uploads/files/7a/0f/7a0fcf86-09f0-4ebf-a134-02b1290a950e/Glossary.pdf | https://www.productivity.com/wp-content/uploads/2015/04/PI_RoboticGlossaryTerms.pdf</t>
  </si>
  <si>
    <t xml:space="preserve">S1-FUND-002</t>
  </si>
  <si>
    <t xml:space="preserve">Device</t>
  </si>
  <si>
    <t xml:space="preserve">جهاز</t>
  </si>
  <si>
    <t xml:space="preserve">dih-VYSE</t>
  </si>
  <si>
    <t xml:space="preserve">Hardware used to control parts of a system.</t>
  </si>
  <si>
    <t xml:space="preserve">Each device on the network has its own address.</t>
  </si>
  <si>
    <t xml:space="preserve">لكل جهاز على الشبكة عنوانه الخاص.</t>
  </si>
  <si>
    <t xml:space="preserve">The device controls part of the system.</t>
  </si>
  <si>
    <t xml:space="preserve">يتحكم الجهاز في جزء من النظام.</t>
  </si>
  <si>
    <t xml:space="preserve">S1-ELEC-001</t>
  </si>
  <si>
    <t xml:space="preserve">Electronics</t>
  </si>
  <si>
    <t xml:space="preserve">الإلكترونيات</t>
  </si>
  <si>
    <t xml:space="preserve">ih-lek-TRON-iks</t>
  </si>
  <si>
    <t xml:space="preserve">The study of how electrons flow through and are controlled by components like batteries, resistors, and motors.</t>
  </si>
  <si>
    <t xml:space="preserve">Electronics is the study of circuits and components.</t>
  </si>
  <si>
    <t xml:space="preserve">الإلكترونيات هي دراسة الدوائر والمكونات.</t>
  </si>
  <si>
    <t xml:space="preserve">Robots depend on electronics to sense and control.</t>
  </si>
  <si>
    <t xml:space="preserve">تعتمد الروبوتات على الإلكترونيات للاستشعار والتحكم.</t>
  </si>
  <si>
    <t xml:space="preserve">S1-TOOL-001</t>
  </si>
  <si>
    <t xml:space="preserve">End Effector</t>
  </si>
  <si>
    <t xml:space="preserve">المؤثر النهائي</t>
  </si>
  <si>
    <t xml:space="preserve">END ih-FEK-ter</t>
  </si>
  <si>
    <t xml:space="preserve">Tooling</t>
  </si>
  <si>
    <t xml:space="preserve">The tool at the end of a robot arm that interacts with the environment, such as a gripper or torch.</t>
  </si>
  <si>
    <t xml:space="preserve">The end effector of this robot is a vacuum gripper.</t>
  </si>
  <si>
    <t xml:space="preserve">المؤثر النهائي لهذا الروبوت قابض تفريغ.</t>
  </si>
  <si>
    <t xml:space="preserve">We changed the end effector to handle a larger part.</t>
  </si>
  <si>
    <t xml:space="preserve">غيّرنا المؤثر النهائي للتعامل مع قطعة أكبر.</t>
  </si>
  <si>
    <t xml:space="preserve">S1-FUND-003</t>
  </si>
  <si>
    <t xml:space="preserve">Energy Source</t>
  </si>
  <si>
    <t xml:space="preserve">مصدر الطاقة</t>
  </si>
  <si>
    <t xml:space="preserve">EN-er-jee SORS</t>
  </si>
  <si>
    <t xml:space="preserve">Where energy comes from, such as chemical, thermal, or mechanical processes.</t>
  </si>
  <si>
    <t xml:space="preserve">A battery is the energy source of a mobile robot.</t>
  </si>
  <si>
    <t xml:space="preserve">البطارية هي مصدر الطاقة للروبوت المتنقل.</t>
  </si>
  <si>
    <t xml:space="preserve">Choose an energy source that matches the actuators.</t>
  </si>
  <si>
    <t xml:space="preserve">اختر مصدر طاقة يناسب المشغّلات.</t>
  </si>
  <si>
    <t xml:space="preserve">S1-FUND-004</t>
  </si>
  <si>
    <t xml:space="preserve">Flexibility</t>
  </si>
  <si>
    <t xml:space="preserve">المرونة</t>
  </si>
  <si>
    <t xml:space="preserve">flek-suh-BIL-ih-tee</t>
  </si>
  <si>
    <t xml:space="preserve">The range of diverse jobs a robot can perform.</t>
  </si>
  <si>
    <t xml:space="preserve">Flexibility lets one robot do many different jobs.</t>
  </si>
  <si>
    <t xml:space="preserve">تتيح المرونة لروبوت واحد القيام بمهام كثيرة مختلفة.</t>
  </si>
  <si>
    <t xml:space="preserve">The line needs flexibility because products change often.</t>
  </si>
  <si>
    <t xml:space="preserve">يحتاج الخط إلى المرونة لأن المنتجات تتغير كثيراً.</t>
  </si>
  <si>
    <t xml:space="preserve">S1-DYNM-001</t>
  </si>
  <si>
    <t xml:space="preserve">Force</t>
  </si>
  <si>
    <t xml:space="preserve">القوة</t>
  </si>
  <si>
    <t xml:space="preserve">FORS</t>
  </si>
  <si>
    <t xml:space="preserve">Dynamics</t>
  </si>
  <si>
    <t xml:space="preserve">The strength behind an action or movement.</t>
  </si>
  <si>
    <t xml:space="preserve">The motor creates a force that moves the arm.</t>
  </si>
  <si>
    <t xml:space="preserve">يخلق المحرك قوة تحرك الذراع.</t>
  </si>
  <si>
    <t xml:space="preserve">Force is measured in newtons.</t>
  </si>
  <si>
    <t xml:space="preserve">تُقاس القوة بالنيوتن.</t>
  </si>
  <si>
    <t xml:space="preserve">S1-TOOL-002</t>
  </si>
  <si>
    <t xml:space="preserve">Gripper</t>
  </si>
  <si>
    <t xml:space="preserve">القابض</t>
  </si>
  <si>
    <t xml:space="preserve">GRIP-er</t>
  </si>
  <si>
    <t xml:space="preserve">An end-effector that seizes and holds objects through pressure, magnetism, or vacuum.</t>
  </si>
  <si>
    <t xml:space="preserve">The gripper holds the bottle without dropping it.</t>
  </si>
  <si>
    <t xml:space="preserve">يمسك القابض الزجاجة دون إسقاطها.</t>
  </si>
  <si>
    <t xml:space="preserve">A magnetic gripper can pick up steel parts.</t>
  </si>
  <si>
    <t xml:space="preserve">يستطيع القابض المغناطيسي التقاط القطع الفولاذية.</t>
  </si>
  <si>
    <t xml:space="preserve">S7-TRBL-006</t>
  </si>
  <si>
    <t xml:space="preserve">S1-TOOL-003</t>
  </si>
  <si>
    <t xml:space="preserve">Hand</t>
  </si>
  <si>
    <t xml:space="preserve">اليد</t>
  </si>
  <si>
    <t xml:space="preserve">HAND</t>
  </si>
  <si>
    <t xml:space="preserve">A clamp or gripper used as an end-effector to grasp objects.</t>
  </si>
  <si>
    <t xml:space="preserve">The robot hand can hold small objects.</t>
  </si>
  <si>
    <t xml:space="preserve">تستطيع يد الروبوت حمل الأشياء الصغيرة.</t>
  </si>
  <si>
    <t xml:space="preserve">A two-finger hand is enough for this task.</t>
  </si>
  <si>
    <t xml:space="preserve">يد بإصبعين تكفي لهذه المهمة.</t>
  </si>
  <si>
    <t xml:space="preserve">S1-EMBD-001</t>
  </si>
  <si>
    <t xml:space="preserve">Hardware</t>
  </si>
  <si>
    <t xml:space="preserve">العتاد (الأجهزة)</t>
  </si>
  <si>
    <t xml:space="preserve">HARD-wair</t>
  </si>
  <si>
    <t xml:space="preserve">The physical parts of a computer.</t>
  </si>
  <si>
    <t xml:space="preserve">The hardware includes the motors, sensors, and controller.</t>
  </si>
  <si>
    <t xml:space="preserve">يشمل العتاد المحركات والحساسات والمتحكم.</t>
  </si>
  <si>
    <t xml:space="preserve">We replaced the faulty hardware, not the software.</t>
  </si>
  <si>
    <t xml:space="preserve">استبدلنا العتاد المعطوب وليس البرمجيات.</t>
  </si>
  <si>
    <t xml:space="preserve">S1-ROBT-014</t>
  </si>
  <si>
    <t xml:space="preserve">Industrial Robot</t>
  </si>
  <si>
    <t xml:space="preserve">روبوت صناعي</t>
  </si>
  <si>
    <t xml:space="preserve">in-DUS-tree-ul ROH-bot</t>
  </si>
  <si>
    <t xml:space="preserve">A reprogrammable multifunction manipulator that moves materials, parts, tools, or devices through varied programmed motions.</t>
  </si>
  <si>
    <t xml:space="preserve">An industrial robot is a reprogrammable multi-purpose manipulator.</t>
  </si>
  <si>
    <t xml:space="preserve">الروبوت الصناعي ذراع متعددة الأغراض قابلة لإعادة البرمجة.</t>
  </si>
  <si>
    <t xml:space="preserve">The industrial robot paints car bodies all day.</t>
  </si>
  <si>
    <t xml:space="preserve">يطلي الروبوت الصناعي هياكل السيارات طوال اليوم.</t>
  </si>
  <si>
    <t xml:space="preserve">S1-ROBT-015</t>
  </si>
  <si>
    <t xml:space="preserve">Insect robot</t>
  </si>
  <si>
    <t xml:space="preserve">روبوت حشري</t>
  </si>
  <si>
    <t xml:space="preserve">IN-sekt ROH-bot</t>
  </si>
  <si>
    <t xml:space="preserve">A small mobile robot.</t>
  </si>
  <si>
    <t xml:space="preserve">An insect robot is small and walks on six legs.</t>
  </si>
  <si>
    <t xml:space="preserve">الروبوت الحشري صغير ويمشي على ست أرجل.</t>
  </si>
  <si>
    <t xml:space="preserve">The insect robot can climb over small obstacles.</t>
  </si>
  <si>
    <t xml:space="preserve">يستطيع الروبوت الحشري تسلق عوائق صغيرة.</t>
  </si>
  <si>
    <t xml:space="preserve">S1-CMAI-004</t>
  </si>
  <si>
    <t xml:space="preserve">Intelligence</t>
  </si>
  <si>
    <t xml:space="preserve">الذكاء</t>
  </si>
  <si>
    <t xml:space="preserve">in-TEL-ih-juns</t>
  </si>
  <si>
    <t xml:space="preserve">The capacity to gain and use skills and knowledge.</t>
  </si>
  <si>
    <t xml:space="preserve">Intelligence is the ability to learn and use knowledge.</t>
  </si>
  <si>
    <t xml:space="preserve">الذكاء هو القدرة على التعلم واستخدام المعرفة.</t>
  </si>
  <si>
    <t xml:space="preserve">Robots with some intelligence can adapt to change.</t>
  </si>
  <si>
    <t xml:space="preserve">الروبوتات ذات الذكاء المحدود تستطيع التكيف مع التغيير.</t>
  </si>
  <si>
    <t xml:space="preserve">S1-ROBT-016</t>
  </si>
  <si>
    <t xml:space="preserve">Intelligent Robot</t>
  </si>
  <si>
    <t xml:space="preserve">روبوت ذكي</t>
  </si>
  <si>
    <t xml:space="preserve">in-TEL-ih-junt ROH-bot</t>
  </si>
  <si>
    <t xml:space="preserve">A robot that can make performance choices based on sensory input with little human help.</t>
  </si>
  <si>
    <t xml:space="preserve">An intelligent robot can choose actions based on its sensors.</t>
  </si>
  <si>
    <t xml:space="preserve">يستطيع الروبوت الذكي اختيار الأفعال بناءً على حساساته.</t>
  </si>
  <si>
    <t xml:space="preserve">Intelligent robots need little help from humans.</t>
  </si>
  <si>
    <t xml:space="preserve">لا تحتاج الروبوتات الذكية إلا إلى مساعدة قليلة من البشر.</t>
  </si>
  <si>
    <t xml:space="preserve">S1-MECH-005</t>
  </si>
  <si>
    <t xml:space="preserve">Joint</t>
  </si>
  <si>
    <t xml:space="preserve">مفصل</t>
  </si>
  <si>
    <t xml:space="preserve">JOYNT</t>
  </si>
  <si>
    <t xml:space="preserve">A rotational or translational degree of freedom between links or between a link and the end-effector.</t>
  </si>
  <si>
    <t xml:space="preserve">Each joint of the robot has its own motor.</t>
  </si>
  <si>
    <t xml:space="preserve">لكل مفصل في الروبوت محركه الخاص.</t>
  </si>
  <si>
    <t xml:space="preserve">The elbow joint rotates up to 150 degrees.</t>
  </si>
  <si>
    <t xml:space="preserve">يدور مفصل المرفق حتى 150 درجة.</t>
  </si>
  <si>
    <t xml:space="preserve">S1-ROBT-017</t>
  </si>
  <si>
    <t xml:space="preserve">Jointed Arm Robot</t>
  </si>
  <si>
    <t xml:space="preserve">روبوت ذو ذراع مفصلية</t>
  </si>
  <si>
    <t xml:space="preserve">JOYN-tid ARM ROH-bot</t>
  </si>
  <si>
    <t xml:space="preserve">A robot arm with two junctions that allow motion similar to a human shoulder and elbow.</t>
  </si>
  <si>
    <t xml:space="preserve">A jointed arm robot moves like a human shoulder and elbow.</t>
  </si>
  <si>
    <t xml:space="preserve">يتحرك الروبوت ذو الذراع المفصلية مثل كتف الإنسان ومرفقه.</t>
  </si>
  <si>
    <t xml:space="preserve">Most welding robots are jointed arm robots.</t>
  </si>
  <si>
    <t xml:space="preserve">معظم روبوتات اللحام ذات أذرع مفصلية.</t>
  </si>
  <si>
    <t xml:space="preserve">S1-ETHC-001</t>
  </si>
  <si>
    <t xml:space="preserve">Law of Robotics</t>
  </si>
  <si>
    <t xml:space="preserve">قوانين الروبوتات</t>
  </si>
  <si>
    <t xml:space="preserve">LAW uv roh-BOT-iks</t>
  </si>
  <si>
    <t xml:space="preserve">Robotics Ethics</t>
  </si>
  <si>
    <t xml:space="preserve">Rules created by Isaac Asimov in his robot stories to govern robot behavior.</t>
  </si>
  <si>
    <t xml:space="preserve">Asimov wrote the three laws of robotics.</t>
  </si>
  <si>
    <t xml:space="preserve">كتب أسيموف قوانين الروبوتات الثلاثة.</t>
  </si>
  <si>
    <t xml:space="preserve">The first law says a robot must not harm a human.</t>
  </si>
  <si>
    <t xml:space="preserve">ينص القانون الأول على أن الروبوت يجب ألا يؤذي إنساناً.</t>
  </si>
  <si>
    <t xml:space="preserve">S1-BIOL-014</t>
  </si>
  <si>
    <t xml:space="preserve">Light seeker</t>
  </si>
  <si>
    <t xml:space="preserve">باحث الضوء</t>
  </si>
  <si>
    <t xml:space="preserve">LYTE SEEK-er</t>
  </si>
  <si>
    <t xml:space="preserve">Biology-Inspired</t>
  </si>
  <si>
    <t xml:space="preserve">A Braitenberg vehicle that turns toward lights.</t>
  </si>
  <si>
    <t xml:space="preserve">A light seeker turns toward the light.</t>
  </si>
  <si>
    <t xml:space="preserve">يتجه باحث الضوء نحو الضوء.</t>
  </si>
  <si>
    <t xml:space="preserve">The light seeker robot found the lamp.</t>
  </si>
  <si>
    <t xml:space="preserve">وجد روبوت باحث الضوء المصباح.</t>
  </si>
  <si>
    <t xml:space="preserve">S1-KINE-005</t>
  </si>
  <si>
    <t xml:space="preserve">Linear motion</t>
  </si>
  <si>
    <t xml:space="preserve">الحركة الخطية</t>
  </si>
  <si>
    <t xml:space="preserve">LIN-ee-er MOH-shun</t>
  </si>
  <si>
    <t xml:space="preserve">Movement in a straight line rather than rotation.</t>
  </si>
  <si>
    <t xml:space="preserve">Linear motion is movement in a straight line.</t>
  </si>
  <si>
    <t xml:space="preserve">الحركة الخطية هي حركة في خط مستقيم.</t>
  </si>
  <si>
    <t xml:space="preserve">A linear actuator creates linear motion.</t>
  </si>
  <si>
    <t xml:space="preserve">ينتج المشغّل الخطي حركة خطية.</t>
  </si>
  <si>
    <t xml:space="preserve">S1-MECH-006</t>
  </si>
  <si>
    <t xml:space="preserve">Link</t>
  </si>
  <si>
    <t xml:space="preserve">وصلة</t>
  </si>
  <si>
    <t xml:space="preserve">LINK</t>
  </si>
  <si>
    <t xml:space="preserve">A rigid part of a manipulator that connects adjacent joints.</t>
  </si>
  <si>
    <t xml:space="preserve">A link is a rigid part between two joints.</t>
  </si>
  <si>
    <t xml:space="preserve">الوصلة جزء صلب بين مفصلين.</t>
  </si>
  <si>
    <t xml:space="preserve">The upper arm link is made of aluminum.</t>
  </si>
  <si>
    <t xml:space="preserve">وصلة الذراع العلوية مصنوعة من الألمنيوم.</t>
  </si>
  <si>
    <t xml:space="preserve">S1-ROBT-018</t>
  </si>
  <si>
    <t xml:space="preserve">Manipulator</t>
  </si>
  <si>
    <t xml:space="preserve">المُناوِل (الذراع الآلية)</t>
  </si>
  <si>
    <t xml:space="preserve">muh-NIP-yuh-lay-ter</t>
  </si>
  <si>
    <t xml:space="preserve">A segmented, jointed mechanism that grasps or moves objects, controlled by an operator or programmable logic.</t>
  </si>
  <si>
    <t xml:space="preserve">The manipulator moves objects with its jointed arm.</t>
  </si>
  <si>
    <t xml:space="preserve">يحرّك المُناوِل الأجسام بذراعه المفصلية.</t>
  </si>
  <si>
    <t xml:space="preserve">A manipulator can be controlled by an operator or a program.</t>
  </si>
  <si>
    <t xml:space="preserve">يمكن التحكم بالمُناوِل بواسطة مشغّل أو برنامج.</t>
  </si>
  <si>
    <t xml:space="preserve">S1-MECH-007</t>
  </si>
  <si>
    <t xml:space="preserve">ميكانيكي</t>
  </si>
  <si>
    <t xml:space="preserve">muh-KAN-ih-kul</t>
  </si>
  <si>
    <t xml:space="preserve">Relating to machines and apparatus.</t>
  </si>
  <si>
    <t xml:space="preserve">The mechanical parts of the robot include gears and links.</t>
  </si>
  <si>
    <t xml:space="preserve">تشمل الأجزاء الميكانيكية للروبوت التروس والوصلات.</t>
  </si>
  <si>
    <t xml:space="preserve">A mechanical fault can cause noise and vibration.</t>
  </si>
  <si>
    <t xml:space="preserve">قد يسبب العطل الميكانيكي ضجيجاً واهتزازاً.</t>
  </si>
  <si>
    <t xml:space="preserve">S1-FUND-005</t>
  </si>
  <si>
    <t xml:space="preserve">Mechatronics</t>
  </si>
  <si>
    <t xml:space="preserve">الميكاترونيكس</t>
  </si>
  <si>
    <t xml:space="preserve">mek-uh-TRON-iks</t>
  </si>
  <si>
    <t xml:space="preserve">The integrated design approach combining mechanical, electronic, control, and software engineering in one system.</t>
  </si>
  <si>
    <t xml:space="preserve">Mechatronics combines mechanics, electronics, and software.</t>
  </si>
  <si>
    <t xml:space="preserve">تجمع الميكاترونيكس بين الميكانيك والإلكترونيات والبرمجيات.</t>
  </si>
  <si>
    <t xml:space="preserve">He studies mechatronics at the engineering faculty.</t>
  </si>
  <si>
    <t xml:space="preserve">يدرس الميكاترونيكس في كلية الهندسة.</t>
  </si>
  <si>
    <t xml:space="preserve">Engineers Universe + FutureLearn (Univ. of Reading)</t>
  </si>
  <si>
    <t xml:space="preserve">https://engineersuniverse.com/studios/mechatronics/mechatronics-terminology-glossary | https://ugc.futurelearn.com/uploads/files/7a/0f/7a0fcf86-09f0-4ebf-a134-02b1290a950e/Glossary.pdf</t>
  </si>
  <si>
    <t xml:space="preserve">S1-ROBT-019</t>
  </si>
  <si>
    <t xml:space="preserve">Mobile Robot</t>
  </si>
  <si>
    <t xml:space="preserve">روبوت متنقل</t>
  </si>
  <si>
    <t xml:space="preserve">MOH-bul ROH-bot</t>
  </si>
  <si>
    <t xml:space="preserve">A robot with its own power source that can move without path constraints.</t>
  </si>
  <si>
    <t xml:space="preserve">A mobile robot can move around without fixed tracks.</t>
  </si>
  <si>
    <t xml:space="preserve">يستطيع الروبوت المتنقل التحرك دون مسارات ثابتة.</t>
  </si>
  <si>
    <t xml:space="preserve">The mobile robot delivers parts across the factory floor.</t>
  </si>
  <si>
    <t xml:space="preserve">ينقل الروبوت المتنقل القطع عبر أرضية المصنع.</t>
  </si>
  <si>
    <t xml:space="preserve">S1-BIOL-016</t>
  </si>
  <si>
    <t xml:space="preserve">Neuron</t>
  </si>
  <si>
    <t xml:space="preserve">عصبون (خلية عصبية)</t>
  </si>
  <si>
    <t xml:space="preserve">NOOR-on</t>
  </si>
  <si>
    <t xml:space="preserve">A basic processing unit in the brain, of which humans have billions.</t>
  </si>
  <si>
    <t xml:space="preserve">A neuron is a basic processing unit in the brain.</t>
  </si>
  <si>
    <t xml:space="preserve">العصبون وحدة معالجة أساسية في الدماغ.</t>
  </si>
  <si>
    <t xml:space="preserve">Artificial neurons are used in neural networks.</t>
  </si>
  <si>
    <t xml:space="preserve">تُستخدم العصبونات الاصطناعية في الشبكات العصبية.</t>
  </si>
  <si>
    <t xml:space="preserve">S1-KINE-006</t>
  </si>
  <si>
    <t xml:space="preserve">Position</t>
  </si>
  <si>
    <t xml:space="preserve">الموضع</t>
  </si>
  <si>
    <t xml:space="preserve">puh-ZISH-un</t>
  </si>
  <si>
    <t xml:space="preserve">An object's location in three-dimensional space, usually given by X, Y, and Z coordinates.</t>
  </si>
  <si>
    <t xml:space="preserve">The position of the tool is given by X, Y, and Z.</t>
  </si>
  <si>
    <t xml:space="preserve">يُعطى موضع الأداة بالقيم X وY وZ.</t>
  </si>
  <si>
    <t xml:space="preserve">The sensor measures the position of the arm.</t>
  </si>
  <si>
    <t xml:space="preserve">يقيس الحساس موضع الذراع.</t>
  </si>
  <si>
    <t xml:space="preserve">S1-PROG-002</t>
  </si>
  <si>
    <t xml:space="preserve">Program</t>
  </si>
  <si>
    <t xml:space="preserve">برنامج / يبرمج</t>
  </si>
  <si>
    <t xml:space="preserve">PROH-gram</t>
  </si>
  <si>
    <t xml:space="preserve">As a noun, a set of tasks for a controller or computer; as a verb, supplying those procedures and tasks.</t>
  </si>
  <si>
    <t xml:space="preserve">The robot follows a program to do its job.</t>
  </si>
  <si>
    <t xml:space="preserve">يتبع الروبوت برنامجاً لأداء عمله.</t>
  </si>
  <si>
    <t xml:space="preserve">We saved a backup copy of the program.</t>
  </si>
  <si>
    <t xml:space="preserve">حفظنا نسخة احتياطية من البرنامج.</t>
  </si>
  <si>
    <t xml:space="preserve">S1-ROBT-021</t>
  </si>
  <si>
    <t xml:space="preserve">Programmable Robot</t>
  </si>
  <si>
    <t xml:space="preserve">روبوت قابل للبرمجة</t>
  </si>
  <si>
    <t xml:space="preserve">PROH-gram-uh-bul ROH-bot</t>
  </si>
  <si>
    <t xml:space="preserve">A robot that can perform a sequence of steps repeatedly and be reprogrammed for different sequences.</t>
  </si>
  <si>
    <t xml:space="preserve">A programmable robot can be taught a new task.</t>
  </si>
  <si>
    <t xml:space="preserve">يمكن تعليم الروبوت القابل للبرمجة مهمة جديدة.</t>
  </si>
  <si>
    <t xml:space="preserve">The programmable robot repeats the same sequence all day.</t>
  </si>
  <si>
    <t xml:space="preserve">يكرر الروبوت القابل للبرمجة التسلسل نفسه طوال اليوم.</t>
  </si>
  <si>
    <t xml:space="preserve">S1-ROBT-022</t>
  </si>
  <si>
    <t xml:space="preserve">R2-D2</t>
  </si>
  <si>
    <t xml:space="preserve">آر 2 - دي 2</t>
  </si>
  <si>
    <t xml:space="preserve">AR-too DEE-too</t>
  </si>
  <si>
    <t xml:space="preserve">A robot character from the Star Wars films and books.</t>
  </si>
  <si>
    <t xml:space="preserve">R2-D2 is a famous robot from Star Wars.</t>
  </si>
  <si>
    <t xml:space="preserve">آر 2 - دي 2 روبوت مشهور من أفلام حرب النجوم.</t>
  </si>
  <si>
    <t xml:space="preserve">Many children dream of building their own R2-D2.</t>
  </si>
  <si>
    <t xml:space="preserve">يحلم كثير من الأطفال ببناء روبوت آر 2 - دي 2 خاص بهم.</t>
  </si>
  <si>
    <t xml:space="preserve">S1-FUND-007</t>
  </si>
  <si>
    <t xml:space="preserve">Robot</t>
  </si>
  <si>
    <t xml:space="preserve">روبوت</t>
  </si>
  <si>
    <t xml:space="preserve">ROH-bot</t>
  </si>
  <si>
    <t xml:space="preserve">A reprogrammable, multifunction machine (controller + manipulator + end-effector) that performs varied tasks through programmed motion.</t>
  </si>
  <si>
    <t xml:space="preserve">A robot is a machine that can be programmed to do tasks.</t>
  </si>
  <si>
    <t xml:space="preserve">الروبوت آلة يمكن برمجتها لأداء مهام.</t>
  </si>
  <si>
    <t xml:space="preserve">The robot has a controller, an arm, and a tool.</t>
  </si>
  <si>
    <t xml:space="preserve">للروبوت متحكم وذراع وأداة.</t>
  </si>
  <si>
    <t xml:space="preserve">Definition paraphrased from the listed source(s); pronunciation, Arabic, examples and level are original additions. Definition rewritten because the FutureLearn entry only says 'the subject of the course'.</t>
  </si>
  <si>
    <t xml:space="preserve">S1-FUND-008</t>
  </si>
  <si>
    <t xml:space="preserve">Robotics</t>
  </si>
  <si>
    <t xml:space="preserve">علم الروبوتات</t>
  </si>
  <si>
    <t xml:space="preserve">roh-BOT-iks</t>
  </si>
  <si>
    <t xml:space="preserve">The mechatronics subset focused on machines that sense, plan, and move autonomously or semi-autonomously.</t>
  </si>
  <si>
    <t xml:space="preserve">Robotics is the study of machines that sense, think, and act.</t>
  </si>
  <si>
    <t xml:space="preserve">علم الروبوتات هو دراسة الآلات التي تستشعر وتفكر وتتصرف.</t>
  </si>
  <si>
    <t xml:space="preserve">She joined a robotics club at school.</t>
  </si>
  <si>
    <t xml:space="preserve">انضمت إلى نادي الروبوتات في المدرسة.</t>
  </si>
  <si>
    <t xml:space="preserve">Engineers Universe</t>
  </si>
  <si>
    <t xml:space="preserve">https://engineersuniverse.com/studios/mechatronics/mechatronics-terminology-glossary</t>
  </si>
  <si>
    <t xml:space="preserve">S1-MECH-009</t>
  </si>
  <si>
    <t xml:space="preserve">Rotary Joint</t>
  </si>
  <si>
    <t xml:space="preserve">مفصل دوّار</t>
  </si>
  <si>
    <t xml:space="preserve">ROH-tuh-ree JOYNT</t>
  </si>
  <si>
    <t xml:space="preserve">A joint that twists, swings, or bends about an axis.</t>
  </si>
  <si>
    <t xml:space="preserve">A rotary joint twists or swings around an axis.</t>
  </si>
  <si>
    <t xml:space="preserve">يلتف المفصل الدوّار أو يتأرجح حول محور.</t>
  </si>
  <si>
    <t xml:space="preserve">The wrist has three rotary joints.</t>
  </si>
  <si>
    <t xml:space="preserve">للمعصم ثلاثة مفاصل دوّارة.</t>
  </si>
  <si>
    <t xml:space="preserve">S1-KINE-007</t>
  </si>
  <si>
    <t xml:space="preserve">Rotary motion</t>
  </si>
  <si>
    <t xml:space="preserve">الحركة الدورانية</t>
  </si>
  <si>
    <t xml:space="preserve">ROH-tuh-ree MOH-shun</t>
  </si>
  <si>
    <t xml:space="preserve">Movement that turns something on the spot or around a joint.</t>
  </si>
  <si>
    <t xml:space="preserve">A motor shaft produces rotary motion.</t>
  </si>
  <si>
    <t xml:space="preserve">ينتج عمود المحرك حركة دورانية.</t>
  </si>
  <si>
    <t xml:space="preserve">A ball screw converts rotary motion into linear motion.</t>
  </si>
  <si>
    <t xml:space="preserve">يحوّل البرغي الكروي الحركة الدورانية إلى خطية.</t>
  </si>
  <si>
    <t xml:space="preserve">S1-KINE-008</t>
  </si>
  <si>
    <t xml:space="preserve">Rotational Motion</t>
  </si>
  <si>
    <t xml:space="preserve">roh-TAY-shun-ul MOH-shun</t>
  </si>
  <si>
    <t xml:space="preserve">Circular movement about an axis.</t>
  </si>
  <si>
    <t xml:space="preserve">Rotational motion is movement around an axis.</t>
  </si>
  <si>
    <t xml:space="preserve">الحركة الدورانية هي حركة حول محور.</t>
  </si>
  <si>
    <t xml:space="preserve">The motor produces rotational motion.</t>
  </si>
  <si>
    <t xml:space="preserve">ينتج المحرك حركة دورانية.</t>
  </si>
  <si>
    <t xml:space="preserve">S1-SENS-001</t>
  </si>
  <si>
    <t xml:space="preserve">Sensor</t>
  </si>
  <si>
    <t xml:space="preserve">حساس / مستشعر</t>
  </si>
  <si>
    <t xml:space="preserve">SEN-ser</t>
  </si>
  <si>
    <t xml:space="preserve">Sensors</t>
  </si>
  <si>
    <t xml:space="preserve">An instrument that detects physical stimuli and reports data about the robot's environment or its own position.</t>
  </si>
  <si>
    <t xml:space="preserve">A sensor measures distance, temperature, or force.</t>
  </si>
  <si>
    <t xml:space="preserve">يقيس الحساس المسافة أو الحرارة أو القوة.</t>
  </si>
  <si>
    <t xml:space="preserve">The robot uses a sensor to find the object.</t>
  </si>
  <si>
    <t xml:space="preserve">يستخدم الروبوت حساساً لإيجاد الجسم.</t>
  </si>
  <si>
    <t xml:space="preserve">S7-TRBL-007</t>
  </si>
  <si>
    <t xml:space="preserve">S1-MECH-010</t>
  </si>
  <si>
    <t xml:space="preserve">Shoulder</t>
  </si>
  <si>
    <t xml:space="preserve">الكتف</t>
  </si>
  <si>
    <t xml:space="preserve">SHOHL-der</t>
  </si>
  <si>
    <t xml:space="preserve">The joint connecting the manipulator arm to the base.</t>
  </si>
  <si>
    <t xml:space="preserve">The shoulder joint connects the arm to the base.</t>
  </si>
  <si>
    <t xml:space="preserve">يربط مفصل الكتف الذراع بالقاعدة.</t>
  </si>
  <si>
    <t xml:space="preserve">The shoulder motor carries the most load.</t>
  </si>
  <si>
    <t xml:space="preserve">يحمل محرك الكتف أكبر حِمل.</t>
  </si>
  <si>
    <t xml:space="preserve">S1-ELEC-002</t>
  </si>
  <si>
    <t xml:space="preserve">Signal</t>
  </si>
  <si>
    <t xml:space="preserve">إشارة</t>
  </si>
  <si>
    <t xml:space="preserve">SIG-nul</t>
  </si>
  <si>
    <t xml:space="preserve">A current, voltage, or electromagnetic field used to carry information.</t>
  </si>
  <si>
    <t xml:space="preserve">The sensor sends a signal to the controller.</t>
  </si>
  <si>
    <t xml:space="preserve">يرسل الحساس إشارة إلى المتحكم.</t>
  </si>
  <si>
    <t xml:space="preserve">A noisy signal can cause wrong readings.</t>
  </si>
  <si>
    <t xml:space="preserve">قد تسبب الإشارة المشوّشة قراءات خاطئة.</t>
  </si>
  <si>
    <t xml:space="preserve">S7-TRBL-008</t>
  </si>
  <si>
    <t xml:space="preserve">S1-PROG-003</t>
  </si>
  <si>
    <t xml:space="preserve">Software</t>
  </si>
  <si>
    <t xml:space="preserve">البرمجيات</t>
  </si>
  <si>
    <t xml:space="preserve">SOFT-wair</t>
  </si>
  <si>
    <t xml:space="preserve">A written program that instructs hardware to perform tasks.</t>
  </si>
  <si>
    <t xml:space="preserve">The software controls the robot's movements.</t>
  </si>
  <si>
    <t xml:space="preserve">تتحكم البرمجيات في حركات الروبوت.</t>
  </si>
  <si>
    <t xml:space="preserve">We updated the software to fix a bug.</t>
  </si>
  <si>
    <t xml:space="preserve">حدّثنا البرمجيات لإصلاح خلل.</t>
  </si>
  <si>
    <t xml:space="preserve">S1-FUND-009</t>
  </si>
  <si>
    <t xml:space="preserve">System</t>
  </si>
  <si>
    <t xml:space="preserve">نظام</t>
  </si>
  <si>
    <t xml:space="preserve">SIS-tum</t>
  </si>
  <si>
    <t xml:space="preserve">A group of parts that work together.</t>
  </si>
  <si>
    <t xml:space="preserve">A robot is a system of many parts working together.</t>
  </si>
  <si>
    <t xml:space="preserve">الروبوت نظام من أجزاء كثيرة تعمل معاً.</t>
  </si>
  <si>
    <t xml:space="preserve">If one part of the system fails, the whole system may stop.</t>
  </si>
  <si>
    <t xml:space="preserve">إذا تعطل جزء من النظام قد يتوقف النظام بأكمله.</t>
  </si>
  <si>
    <t xml:space="preserve">S1-TOOL-004</t>
  </si>
  <si>
    <t xml:space="preserve">Tool</t>
  </si>
  <si>
    <t xml:space="preserve">الأداة</t>
  </si>
  <si>
    <t xml:space="preserve">TOOL</t>
  </si>
  <si>
    <t xml:space="preserve">A working apparatus mounted at the arm's end, such as a gripper or welding torch.</t>
  </si>
  <si>
    <t xml:space="preserve">The robot changes its tool for each job.</t>
  </si>
  <si>
    <t xml:space="preserve">يغيّر الروبوت أداته لكل مهمة.</t>
  </si>
  <si>
    <t xml:space="preserve">A welding torch is a tool mounted on the arm.</t>
  </si>
  <si>
    <t xml:space="preserve">شعلة اللحام أداة مثبتة على الذراع.</t>
  </si>
  <si>
    <t xml:space="preserve">S1-KINE-009</t>
  </si>
  <si>
    <t xml:space="preserve">Velocity</t>
  </si>
  <si>
    <t xml:space="preserve">السرعة المتجهة</t>
  </si>
  <si>
    <t xml:space="preserve">vuh-LOS-ih-tee</t>
  </si>
  <si>
    <t xml:space="preserve">An object's speed together with the direction it travels.</t>
  </si>
  <si>
    <t xml:space="preserve">Velocity includes both speed and direction.</t>
  </si>
  <si>
    <t xml:space="preserve">تشمل السرعة المتجهة السرعة والاتجاه.</t>
  </si>
  <si>
    <t xml:space="preserve">The velocity of the arm is limited for safety.</t>
  </si>
  <si>
    <t xml:space="preserve">سرعة الذراع محدودة لأسباب السلامة.</t>
  </si>
  <si>
    <t xml:space="preserve">S1-SPEC-001</t>
  </si>
  <si>
    <t xml:space="preserve">Workspace</t>
  </si>
  <si>
    <t xml:space="preserve">فضاء العمل</t>
  </si>
  <si>
    <t xml:space="preserve">WURK-spays</t>
  </si>
  <si>
    <t xml:space="preserve">Specifications</t>
  </si>
  <si>
    <t xml:space="preserve">The volume a robot's end effector can reach, distinguishing reachable from dexterous regions.</t>
  </si>
  <si>
    <t xml:space="preserve">The robot's workspace is the area it can reach.</t>
  </si>
  <si>
    <t xml:space="preserve">فضاء عمل الروبوت هو المنطقة التي يستطيع الوصول إليها.</t>
  </si>
  <si>
    <t xml:space="preserve">Remove all tools from the workspace before starting.</t>
  </si>
  <si>
    <t xml:space="preserve">أزل جميع الأدوات من فضاء العمل قبل البدء.</t>
  </si>
  <si>
    <t xml:space="preserve">S7-INTV-014</t>
  </si>
  <si>
    <t xml:space="preserve">Engineers Universe + Productivity Inc</t>
  </si>
  <si>
    <t xml:space="preserve">https://engineersuniverse.com/studios/mechatronics/mechatronics-terminology-glossary | https://www.productivity.com/wp-content/uploads/2015/04/PI_RoboticGlossaryTerms.pdf</t>
  </si>
  <si>
    <t xml:space="preserve">S1-MECH-011</t>
  </si>
  <si>
    <t xml:space="preserve">Wrist</t>
  </si>
  <si>
    <t xml:space="preserve">المعصم</t>
  </si>
  <si>
    <t xml:space="preserve">RIST</t>
  </si>
  <si>
    <t xml:space="preserve">A set of rotary joints between the arm and end-effector that orient the end-effector toward the workpiece.</t>
  </si>
  <si>
    <t xml:space="preserve">The wrist orients the tool toward the work-piece.</t>
  </si>
  <si>
    <t xml:space="preserve">يوجّه المعصم الأداة نحو قطعة العمل.</t>
  </si>
  <si>
    <t xml:space="preserve">S1-KINE-010</t>
  </si>
  <si>
    <t xml:space="preserve">XYZ Coordinates</t>
  </si>
  <si>
    <t xml:space="preserve">إحداثيات XYZ</t>
  </si>
  <si>
    <t xml:space="preserve">EKS-WY-ZEE koh-OR-dih-nits</t>
  </si>
  <si>
    <t xml:space="preserve">Names for the lines forming a Cartesian solid.</t>
  </si>
  <si>
    <t xml:space="preserve">XYZ coordinates describe a point in three dimensions.</t>
  </si>
  <si>
    <t xml:space="preserve">تصف إحداثيات XYZ نقطة في ثلاثة أبعاد.</t>
  </si>
  <si>
    <t xml:space="preserve">Enter the XYZ coordinates of the target position.</t>
  </si>
  <si>
    <t xml:space="preserve">أدخل إحداثيات XYZ للموضع المستهدف.</t>
  </si>
  <si>
    <t xml:space="preserve">S1-ROBT-002</t>
  </si>
  <si>
    <t xml:space="preserve">Articulated Manipulator</t>
  </si>
  <si>
    <t xml:space="preserve">ذراع مفصلية</t>
  </si>
  <si>
    <t xml:space="preserve">ar-TIK-yuh-lay-tid muh-NIP-yuh-lay-ter</t>
  </si>
  <si>
    <t xml:space="preserve">A manipulator whose arm has jointed sections, with each joint adding a degree of freedom.</t>
  </si>
  <si>
    <t xml:space="preserve">An articulated manipulator looks like a human arm with a shoulder and elbow.</t>
  </si>
  <si>
    <t xml:space="preserve">يشبه الذراع المفصلية ذراع الإنسان بكتف ومرفق.</t>
  </si>
  <si>
    <t xml:space="preserve">Most factory robots are articulated manipulators.</t>
  </si>
  <si>
    <t xml:space="preserve">معظم روبوتات المصانع أذرع مفصلية.</t>
  </si>
  <si>
    <t xml:space="preserve">S1-MECH-002</t>
  </si>
  <si>
    <t xml:space="preserve">Articulation</t>
  </si>
  <si>
    <t xml:space="preserve">التمفصل</t>
  </si>
  <si>
    <t xml:space="preserve">ar-tik-yuh-LAY-shun</t>
  </si>
  <si>
    <t xml:space="preserve">A jointed design that rotates and bends, letting a robot reach into confined spaces.</t>
  </si>
  <si>
    <t xml:space="preserve">The articulation of the arm lets it reach inside a machine.</t>
  </si>
  <si>
    <t xml:space="preserve">يتيح تمفصل الذراع لها الوصول إلى داخل الآلة.</t>
  </si>
  <si>
    <t xml:space="preserve">Good articulation gives the robot more flexibility in tight spaces.</t>
  </si>
  <si>
    <t xml:space="preserve">التمفصل الجيد يمنح الروبوت مرونة أكبر في الأماكن الضيقة.</t>
  </si>
  <si>
    <t xml:space="preserve">S1-ROBT-004</t>
  </si>
  <si>
    <t xml:space="preserve">Baxter robot</t>
  </si>
  <si>
    <t xml:space="preserve">روبوت باكستر</t>
  </si>
  <si>
    <t xml:space="preserve">BAK-ster ROH-bot</t>
  </si>
  <si>
    <t xml:space="preserve">A modern industrial robot built to work safely alongside people.</t>
  </si>
  <si>
    <t xml:space="preserve">The Baxter robot was designed to work safely beside people.</t>
  </si>
  <si>
    <t xml:space="preserve">صُمم روبوت باكستر للعمل بأمان بجانب الناس.</t>
  </si>
  <si>
    <t xml:space="preserve">Small factories used Baxter for simple packing tasks.</t>
  </si>
  <si>
    <t xml:space="preserve">استخدمت المصانع الصغيرة باكستر لمهام تعبئة بسيطة.</t>
  </si>
  <si>
    <t xml:space="preserve">S1-ROBT-005</t>
  </si>
  <si>
    <t xml:space="preserve">Cartesian Manipulator</t>
  </si>
  <si>
    <t xml:space="preserve">ذراع ديكارتية</t>
  </si>
  <si>
    <t xml:space="preserve">kar-TEE-zhun muh-NIP-yuh-lay-ter</t>
  </si>
  <si>
    <t xml:space="preserve">A robot arm with prismatic joints that move along the X, Y, and Z axes.</t>
  </si>
  <si>
    <t xml:space="preserve">A Cartesian manipulator uses prismatic joints on three perpendicular axes.</t>
  </si>
  <si>
    <t xml:space="preserve">يستخدم الذراع الديكارتي مفاصل منزلقة على ثلاثة محاور متعامدة.</t>
  </si>
  <si>
    <t xml:space="preserve">The Cartesian manipulator is easy to program.</t>
  </si>
  <si>
    <t xml:space="preserve">الذراع الديكارتي سهل البرمجة.</t>
  </si>
  <si>
    <t xml:space="preserve">S1-ROBT-008</t>
  </si>
  <si>
    <t xml:space="preserve">Cartesian-Coordinate Robot</t>
  </si>
  <si>
    <t xml:space="preserve">روبوت الإحداثيات الديكارتية</t>
  </si>
  <si>
    <t xml:space="preserve">kar-TEE-zhun koh-OR-dih-nit ROH-bot</t>
  </si>
  <si>
    <t xml:space="preserve">A robot whose arm motions are defined by Cartesian coordinates, plus rotary motion for orientation.</t>
  </si>
  <si>
    <t xml:space="preserve">A Cartesian-coordinate robot moves along straight X, Y, and Z lines.</t>
  </si>
  <si>
    <t xml:space="preserve">يتحرك روبوت الإحداثيات الديكارتية على خطوط مستقيمة X وY وZ.</t>
  </si>
  <si>
    <t xml:space="preserve">3D printers are simple Cartesian-coordinate robots.</t>
  </si>
  <si>
    <t xml:space="preserve">الطابعات ثلاثية الأبعاد روبوتات إحداثيات ديكارتية بسيطة.</t>
  </si>
  <si>
    <t xml:space="preserve">S1-ROBT-010</t>
  </si>
  <si>
    <t xml:space="preserve">Cylindrical Robot</t>
  </si>
  <si>
    <t xml:space="preserve">روبوت أسطواني</t>
  </si>
  <si>
    <t xml:space="preserve">sih-LIN-drih-kul ROH-bot</t>
  </si>
  <si>
    <t xml:space="preserve">A robot whose axes correspond to a cylindrical coordinate system.</t>
  </si>
  <si>
    <t xml:space="preserve">A cylindrical robot moves in a circle and up and down.</t>
  </si>
  <si>
    <t xml:space="preserve">يتحرك الروبوت الأسطواني في دائرة وللأعلى والأسفل.</t>
  </si>
  <si>
    <t xml:space="preserve">The cylindrical robot loads parts into the machine.</t>
  </si>
  <si>
    <t xml:space="preserve">يحمّل الروبوت الأسطواني القطع في الآلة.</t>
  </si>
  <si>
    <t xml:space="preserve">S1-CMAI-003</t>
  </si>
  <si>
    <t xml:space="preserve">Human-Computer Interaction (HCI)</t>
  </si>
  <si>
    <t xml:space="preserve">التفاعل بين الإنسان والحاسوب</t>
  </si>
  <si>
    <t xml:space="preserve">HYOO-mun kum-PYOO-ter in-ter-AK-shun</t>
  </si>
  <si>
    <t xml:space="preserve">The study of how computers and humans relate to each other.</t>
  </si>
  <si>
    <t xml:space="preserve">HCI studies how people use computers and machines.</t>
  </si>
  <si>
    <t xml:space="preserve">يدرس التفاعل بين الإنسان والحاسوب كيف يستخدم الناس الحواسيب والآلات.</t>
  </si>
  <si>
    <t xml:space="preserve">Good HCI makes the robot panel easy to understand.</t>
  </si>
  <si>
    <t xml:space="preserve">التفاعل الجيد بين الإنسان والحاسوب يجعل لوحة الروبوت سهلة الفهم.</t>
  </si>
  <si>
    <t xml:space="preserve">S1-FUND-006</t>
  </si>
  <si>
    <t xml:space="preserve">Modularity</t>
  </si>
  <si>
    <t xml:space="preserve">النمطية / القابلية للتجزئة</t>
  </si>
  <si>
    <t xml:space="preserve">moj-uh-LAIR-ih-tee</t>
  </si>
  <si>
    <t xml:space="preserve">A design property allowing separate units to be easily joined or rearranged.</t>
  </si>
  <si>
    <t xml:space="preserve">Modularity makes the robot easy to repair and upgrade.</t>
  </si>
  <si>
    <t xml:space="preserve">تجعل النمطية الروبوت سهل الإصلاح والترقية.</t>
  </si>
  <si>
    <t xml:space="preserve">Thanks to modularity, we replaced only the gripper module.</t>
  </si>
  <si>
    <t xml:space="preserve">بفضل النمطية استبدلنا وحدة القابض فقط.</t>
  </si>
  <si>
    <t xml:space="preserve">S1-ROBT-023</t>
  </si>
  <si>
    <t xml:space="preserve">Rectangular-Coordinate Robot</t>
  </si>
  <si>
    <t xml:space="preserve">روبوت الإحداثيات المستطيلة</t>
  </si>
  <si>
    <t xml:space="preserve">rek-TANG-gyuh-ler koh-OR-dih-nit ROH-bot</t>
  </si>
  <si>
    <t xml:space="preserve">A robot moving linearly along X, Y, and Z axes, creating a rectangular work envelope.</t>
  </si>
  <si>
    <t xml:space="preserve">A rectangular-coordinate robot has a box-shaped work area.</t>
  </si>
  <si>
    <t xml:space="preserve">لروبوت الإحداثيات المستطيلة منطقة عمل على شكل صندوق.</t>
  </si>
  <si>
    <t xml:space="preserve">It moves linearly along the X, Y, and Z axes.</t>
  </si>
  <si>
    <t xml:space="preserve">يتحرك خطياً على المحاور X وY وZ.</t>
  </si>
  <si>
    <t xml:space="preserve">S1-MECH-008</t>
  </si>
  <si>
    <t xml:space="preserve">Revolute Joint</t>
  </si>
  <si>
    <t xml:space="preserve">مفصل دوراني</t>
  </si>
  <si>
    <t xml:space="preserve">REV-uh-loot JOYNT</t>
  </si>
  <si>
    <t xml:space="preserve">A joint capable of rotary motion.</t>
  </si>
  <si>
    <t xml:space="preserve">A revolute joint rotates around one axis.</t>
  </si>
  <si>
    <t xml:space="preserve">يدور المفصل الدوراني حول محور واحد.</t>
  </si>
  <si>
    <t xml:space="preserve">The elbow of the arm is a revolute joint.</t>
  </si>
  <si>
    <t xml:space="preserve">مرفق الذراع مفصل دوراني.</t>
  </si>
  <si>
    <t xml:space="preserve">S1-ROBT-024</t>
  </si>
  <si>
    <t xml:space="preserve">SCARA Robot</t>
  </si>
  <si>
    <t xml:space="preserve">روبوت سكارا</t>
  </si>
  <si>
    <t xml:space="preserve">SKAR-uh ROH-bot</t>
  </si>
  <si>
    <t xml:space="preserve">A cylindrical-type robot with two parallel horizontal rotary joints that provides compliance in one plane.</t>
  </si>
  <si>
    <t xml:space="preserve">A SCARA robot is fast and good for assembly.</t>
  </si>
  <si>
    <t xml:space="preserve">روبوت سكارا سريع ومناسب للتجميع.</t>
  </si>
  <si>
    <t xml:space="preserve">The SCARA robot is rigid in the vertical direction.</t>
  </si>
  <si>
    <t xml:space="preserve">روبوت سكارا صلب في الاتجاه الرأسي.</t>
  </si>
  <si>
    <t xml:space="preserve">S1-ROBT-025</t>
  </si>
  <si>
    <t xml:space="preserve">Serial Robot</t>
  </si>
  <si>
    <t xml:space="preserve">روبوت تسلسلي</t>
  </si>
  <si>
    <t xml:space="preserve">SEER-ee-ul ROH-bot</t>
  </si>
  <si>
    <t xml:space="preserve">A robot made of one chain of joints and links.</t>
  </si>
  <si>
    <t xml:space="preserve">A serial robot has joints in one chain.</t>
  </si>
  <si>
    <t xml:space="preserve">للروبوت التسلسلي مفاصل في سلسلة واحدة.</t>
  </si>
  <si>
    <t xml:space="preserve">Most robot arms are serial robots.</t>
  </si>
  <si>
    <t xml:space="preserve">معظم الأذرع الآلية روبوتات تسلسلية.</t>
  </si>
  <si>
    <t xml:space="preserve">S1-BIOL-001</t>
  </si>
  <si>
    <t xml:space="preserve">Aggressive Light phobe</t>
  </si>
  <si>
    <t xml:space="preserve">نافر الضوء العدواني</t>
  </si>
  <si>
    <t xml:space="preserve">uh-GRES-iv LYTE FOHB</t>
  </si>
  <si>
    <t xml:space="preserve">A Braitenberg vehicle that speeds up to move away from lights.</t>
  </si>
  <si>
    <t xml:space="preserve">An aggressive light phobe speeds away from a light.</t>
  </si>
  <si>
    <t xml:space="preserve">ينطلق نافر الضوء العدواني مبتعداً عن الضوء بسرعة.</t>
  </si>
  <si>
    <t xml:space="preserve">It is a Braitenberg vehicle with crossed connections.</t>
  </si>
  <si>
    <t xml:space="preserve">هو مركبة برايتنبرغ ذات توصيلات متقاطعة.</t>
  </si>
  <si>
    <t xml:space="preserve">S1-BIOL-002</t>
  </si>
  <si>
    <t xml:space="preserve">Aggressive Light seeker</t>
  </si>
  <si>
    <t xml:space="preserve">باحث الضوء العدواني</t>
  </si>
  <si>
    <t xml:space="preserve">uh-GRES-iv LYTE SEEK-er</t>
  </si>
  <si>
    <t xml:space="preserve">A Braitenberg vehicle that speeds up to move toward lights.</t>
  </si>
  <si>
    <t xml:space="preserve">An aggressive light seeker rushes toward a light.</t>
  </si>
  <si>
    <t xml:space="preserve">يندفع باحث الضوء العدواني نحو الضوء.</t>
  </si>
  <si>
    <t xml:space="preserve">This vehicle accelerates when the light is brighter.</t>
  </si>
  <si>
    <t xml:space="preserve">تتسارع هذه المركبة كلما أصبح الضوء أسطع.</t>
  </si>
  <si>
    <t xml:space="preserve">S1-BIOL-003</t>
  </si>
  <si>
    <t xml:space="preserve">Artificial Life</t>
  </si>
  <si>
    <t xml:space="preserve">الحياة الاصطناعية</t>
  </si>
  <si>
    <t xml:space="preserve">ar-tih-FISH-ul LYFE</t>
  </si>
  <si>
    <t xml:space="preserve">The simulation of life's behaviors and traits, often using computers, robots, or biochemistry; a term coined by Chris Langton.</t>
  </si>
  <si>
    <t xml:space="preserve">Artificial life studies computer models of living systems.</t>
  </si>
  <si>
    <t xml:space="preserve">تدرس الحياة الاصطناعية نماذج حاسوبية للأنظمة الحية.</t>
  </si>
  <si>
    <t xml:space="preserve">Boids are an example of artificial life.</t>
  </si>
  <si>
    <t xml:space="preserve">البويدز مثال على الحياة الاصطناعية.</t>
  </si>
  <si>
    <t xml:space="preserve">S1-BIOL-004</t>
  </si>
  <si>
    <t xml:space="preserve">Biomimetic</t>
  </si>
  <si>
    <t xml:space="preserve">محاكٍ للأحياء</t>
  </si>
  <si>
    <t xml:space="preserve">by-oh-mih-MET-ik</t>
  </si>
  <si>
    <t xml:space="preserve">Designs that imitate biological systems found in nature.</t>
  </si>
  <si>
    <t xml:space="preserve">Biomimetic robots copy the movement of animals.</t>
  </si>
  <si>
    <t xml:space="preserve">تحاكي الروبوتات المحاكية للأحياء حركة الحيوانات.</t>
  </si>
  <si>
    <t xml:space="preserve">A biomimetic gripper was inspired by an octopus arm.</t>
  </si>
  <si>
    <t xml:space="preserve">استُلهم قابض محاكٍ للأحياء من ذراع الأخطبوط.</t>
  </si>
  <si>
    <t xml:space="preserve">S1-BIOL-005</t>
  </si>
  <si>
    <t xml:space="preserve">Boids</t>
  </si>
  <si>
    <t xml:space="preserve">البويدز</t>
  </si>
  <si>
    <t xml:space="preserve">BOYDZ</t>
  </si>
  <si>
    <t xml:space="preserve">Artificial life simulations created by Craig Reynolds that move in flocks.</t>
  </si>
  <si>
    <t xml:space="preserve">Boids simulate how birds fly in flocks.</t>
  </si>
  <si>
    <t xml:space="preserve">يحاكي البويدز كيف تطير الطيور في أسراب.</t>
  </si>
  <si>
    <t xml:space="preserve">The boids program uses three simple rules.</t>
  </si>
  <si>
    <t xml:space="preserve">يستخدم برنامج البويدز ثلاث قواعد بسيطة.</t>
  </si>
  <si>
    <t xml:space="preserve">S1-CMAI-002</t>
  </si>
  <si>
    <t xml:space="preserve">Brain-computer interface</t>
  </si>
  <si>
    <t xml:space="preserve">واجهة الدماغ والحاسوب</t>
  </si>
  <si>
    <t xml:space="preserve">BRAYN kum-PYOO-ter IN-ter-fays</t>
  </si>
  <si>
    <t xml:space="preserve">A direct link between a brain and a computer that lets either one send commands to or monitor the other.</t>
  </si>
  <si>
    <t xml:space="preserve">A brain-computer interface can control a robot arm with thoughts.</t>
  </si>
  <si>
    <t xml:space="preserve">تستطيع واجهة الدماغ والحاسوب التحكم بذراع روبوت بالأفكار.</t>
  </si>
  <si>
    <t xml:space="preserve">Researchers test brain-computer interfaces for people who cannot move.</t>
  </si>
  <si>
    <t xml:space="preserve">يختبر الباحثون واجهات الدماغ والحاسوب لأشخاص لا يستطيعون الحركة.</t>
  </si>
  <si>
    <t xml:space="preserve">S1-BIOL-006</t>
  </si>
  <si>
    <t xml:space="preserve">Braitenberg vehicles</t>
  </si>
  <si>
    <t xml:space="preserve">مركبات برايتنبرغ</t>
  </si>
  <si>
    <t xml:space="preserve">BRY-ten-burg VEE-ih-kulz</t>
  </si>
  <si>
    <t xml:space="preserve">Simple robots, proposed by Valentino Braitenberg, whose behavior is driven by their light sensors and neurons.</t>
  </si>
  <si>
    <t xml:space="preserve">Braitenberg vehicles are simple robots driven by light sensors.</t>
  </si>
  <si>
    <t xml:space="preserve">مركبات برايتنبرغ روبوتات بسيطة تقودها حساسات الضوء.</t>
  </si>
  <si>
    <t xml:space="preserve">Students build Braitenberg vehicles to learn about behavior.</t>
  </si>
  <si>
    <t xml:space="preserve">يبني الطلاب مركبات برايتنبرغ لتعلم السلوك.</t>
  </si>
  <si>
    <t xml:space="preserve">S1-ROBT-007</t>
  </si>
  <si>
    <t xml:space="preserve">Cartesian Topology</t>
  </si>
  <si>
    <t xml:space="preserve">البنية الديكارتية</t>
  </si>
  <si>
    <t xml:space="preserve">kar-TEE-zhun tuh-POL-uh-jee</t>
  </si>
  <si>
    <t xml:space="preserve">A design using prismatic joints, usually arranged perpendicular to each other.</t>
  </si>
  <si>
    <t xml:space="preserve">Cartesian topology uses sliding joints placed at right angles.</t>
  </si>
  <si>
    <t xml:space="preserve">تستخدم البنية الديكارتية مفاصل انزلاقية موضوعة بزوايا قائمة.</t>
  </si>
  <si>
    <t xml:space="preserve">A Cartesian topology gives a box-shaped workspace.</t>
  </si>
  <si>
    <t xml:space="preserve">تعطي البنية الديكارتية فضاء عمل على شكل صندوق.</t>
  </si>
  <si>
    <t xml:space="preserve">S1-CTRL-001</t>
  </si>
  <si>
    <t xml:space="preserve">Cybernetics</t>
  </si>
  <si>
    <t xml:space="preserve">السيبرنيطيقا (علم التحكم)</t>
  </si>
  <si>
    <t xml:space="preserve">sy-ber-NET-iks</t>
  </si>
  <si>
    <t xml:space="preserve">Control Systems</t>
  </si>
  <si>
    <t xml:space="preserve">The study of feedback systems and control, communication, and learning in animals and machines.</t>
  </si>
  <si>
    <t xml:space="preserve">Cybernetics studies control and feedback in animals and machines.</t>
  </si>
  <si>
    <t xml:space="preserve">تدرس السيبرنيطيقا التحكم والتغذية الراجعة في الحيوانات والآلات.</t>
  </si>
  <si>
    <t xml:space="preserve">Early robotics was influenced by cybernetics.</t>
  </si>
  <si>
    <t xml:space="preserve">تأثرت الروبوتات المبكرة بالسيبرنيطيقا.</t>
  </si>
  <si>
    <t xml:space="preserve">S1-ROBT-011</t>
  </si>
  <si>
    <t xml:space="preserve">Cylindrical Topology</t>
  </si>
  <si>
    <t xml:space="preserve">البنية الأسطوانية</t>
  </si>
  <si>
    <t xml:space="preserve">sih-LIN-drih-kul tuh-POL-uh-jee</t>
  </si>
  <si>
    <t xml:space="preserve">An arm that sweeps a horizontal circle with a prismatic joint for vertical motion; not common in industry.</t>
  </si>
  <si>
    <t xml:space="preserve">A cylindrical topology is not common in modern factories.</t>
  </si>
  <si>
    <t xml:space="preserve">البنية الأسطوانية ليست شائعة في المصانع الحديثة.</t>
  </si>
  <si>
    <t xml:space="preserve">The cylindrical topology gives a round work area.</t>
  </si>
  <si>
    <t xml:space="preserve">تعطي البنية الأسطوانية منطقة عمل دائرية.</t>
  </si>
  <si>
    <t xml:space="preserve">S1-BIOL-007</t>
  </si>
  <si>
    <t xml:space="preserve">Daisyworld</t>
  </si>
  <si>
    <t xml:space="preserve">عالم الأقحوان (ديزي ورلد)</t>
  </si>
  <si>
    <t xml:space="preserve">DAY-zee-wurld</t>
  </si>
  <si>
    <t xml:space="preserve">A fictional planet with artificial life, created by James Lovelock and Andrew Watson to illustrate Gaia Theory.</t>
  </si>
  <si>
    <t xml:space="preserve">Daisyworld is a simple model of a planet with daisies.</t>
  </si>
  <si>
    <t xml:space="preserve">ديزي ورلد نموذج بسيط لكوكب فيه أقحوان.</t>
  </si>
  <si>
    <t xml:space="preserve">It shows how life can control its own environment.</t>
  </si>
  <si>
    <t xml:space="preserve">يُظهر كيف تستطيع الحياة التحكم في بيئتها.</t>
  </si>
  <si>
    <t xml:space="preserve">S1-BIOL-008</t>
  </si>
  <si>
    <t xml:space="preserve">Excitatory</t>
  </si>
  <si>
    <t xml:space="preserve">مُثير (تحفيزي)</t>
  </si>
  <si>
    <t xml:space="preserve">ik-SY-tuh-tor-ee</t>
  </si>
  <si>
    <t xml:space="preserve">A neural connection that strengthens or promotes activity.</t>
  </si>
  <si>
    <t xml:space="preserve">An excitatory connection increases neural activity.</t>
  </si>
  <si>
    <t xml:space="preserve">يزيد الاتصال المُثير النشاط العصبي.</t>
  </si>
  <si>
    <t xml:space="preserve">Excitatory signals make the neuron fire.</t>
  </si>
  <si>
    <t xml:space="preserve">تجعل الإشارات المُثيرة العصبون ينشط.</t>
  </si>
  <si>
    <t xml:space="preserve">S1-NANO-001</t>
  </si>
  <si>
    <t xml:space="preserve">Exponential Assembly</t>
  </si>
  <si>
    <t xml:space="preserve">التجميع الأُسّي</t>
  </si>
  <si>
    <t xml:space="preserve">ek-spuh-NEN-shul uh-SEM-blee</t>
  </si>
  <si>
    <t xml:space="preserve">Nanotechnology</t>
  </si>
  <si>
    <t xml:space="preserve">A concept in which nanorobots repeatedly replicate themselves.</t>
  </si>
  <si>
    <t xml:space="preserve">Exponential assembly is the idea of nanorobots copying themselves.</t>
  </si>
  <si>
    <t xml:space="preserve">التجميع الأُسّي فكرة أن الروبوتات النانوية تنسخ نفسها.</t>
  </si>
  <si>
    <t xml:space="preserve">Exponential assembly is still mostly a research concept.</t>
  </si>
  <si>
    <t xml:space="preserve">التجميع الأُسّي لا يزال في معظمه مفهوماً بحثياً.</t>
  </si>
  <si>
    <t xml:space="preserve">S1-BIOL-009</t>
  </si>
  <si>
    <t xml:space="preserve">Flocking behaviour</t>
  </si>
  <si>
    <t xml:space="preserve">سلوك السرب</t>
  </si>
  <si>
    <t xml:space="preserve">FLOK-ing bih-HAYV-yer</t>
  </si>
  <si>
    <t xml:space="preserve">The coordinated group movement of animals or simulated agents, such as birds, fish, or boids.</t>
  </si>
  <si>
    <t xml:space="preserve">Flocking behaviour makes many robots move together like birds.</t>
  </si>
  <si>
    <t xml:space="preserve">يجعل سلوك السرب روبوتات كثيرة تتحرك معاً مثل الطيور.</t>
  </si>
  <si>
    <t xml:space="preserve">Drones can use flocking behaviour to stay in formation.</t>
  </si>
  <si>
    <t xml:space="preserve">تستطيع الطائرات المسيّرة استخدام سلوك السرب للبقاء في تشكيل.</t>
  </si>
  <si>
    <t xml:space="preserve">S1-BIOL-010</t>
  </si>
  <si>
    <t xml:space="preserve">Gaia Theory</t>
  </si>
  <si>
    <t xml:space="preserve">نظرية غايا</t>
  </si>
  <si>
    <t xml:space="preserve">GY-uh THEER-ee</t>
  </si>
  <si>
    <t xml:space="preserve">James Lovelock's idea that Earth and its life work together to shape conditions like temperature.</t>
  </si>
  <si>
    <t xml:space="preserve">Gaia theory says the Earth and life shape each other.</t>
  </si>
  <si>
    <t xml:space="preserve">تقول نظرية غايا إن الأرض والحياة تشكّلان بعضهما.</t>
  </si>
  <si>
    <t xml:space="preserve">Daisyworld was created to explain Gaia theory.</t>
  </si>
  <si>
    <t xml:space="preserve">صُمم ديزي ورلد لشرح نظرية غايا.</t>
  </si>
  <si>
    <t xml:space="preserve">S1-BIOL-011</t>
  </si>
  <si>
    <t xml:space="preserve">Game of Life</t>
  </si>
  <si>
    <t xml:space="preserve">لعبة الحياة</t>
  </si>
  <si>
    <t xml:space="preserve">GAYM uv LYFE</t>
  </si>
  <si>
    <t xml:space="preserve">A cellular automaton devised by John Conway in 1970, in which each state depends on the previous one.</t>
  </si>
  <si>
    <t xml:space="preserve">The Game of Life is a simple model where cells live or die.</t>
  </si>
  <si>
    <t xml:space="preserve">لعبة الحياة نموذج بسيط تعيش فيه الخلايا أو تموت.</t>
  </si>
  <si>
    <t xml:space="preserve">Each new state depends on the previous one.</t>
  </si>
  <si>
    <t xml:space="preserve">تعتمد كل حالة جديدة على الحالة السابقة.</t>
  </si>
  <si>
    <t xml:space="preserve">S1-ROBT-012</t>
  </si>
  <si>
    <t xml:space="preserve">Grimblebot</t>
  </si>
  <si>
    <t xml:space="preserve">روبوت غريمبل</t>
  </si>
  <si>
    <t xml:space="preserve">GRIM-bul-bot</t>
  </si>
  <si>
    <t xml:space="preserve">A self-balancing robot developed at the University of Reading.</t>
  </si>
  <si>
    <t xml:space="preserve">The Grimblebot is a self-balancing robot from Reading.</t>
  </si>
  <si>
    <t xml:space="preserve">غريمبل بوت روبوت ذاتي التوازن من جامعة Reading.</t>
  </si>
  <si>
    <t xml:space="preserve">Students used the Grimblebot to learn about control.</t>
  </si>
  <si>
    <t xml:space="preserve">استخدم الطلاب غريمبل بوت لتعلم التحكم.</t>
  </si>
  <si>
    <t xml:space="preserve">S1-ROBT-013</t>
  </si>
  <si>
    <t xml:space="preserve">Hybrid</t>
  </si>
  <si>
    <t xml:space="preserve">هجين</t>
  </si>
  <si>
    <t xml:space="preserve">HY-brid</t>
  </si>
  <si>
    <t xml:space="preserve">A robot combining pick-and-place and servo-controlled parts.</t>
  </si>
  <si>
    <t xml:space="preserve">A hybrid robot combines pick-and-place and servo parts.</t>
  </si>
  <si>
    <t xml:space="preserve">يجمع الروبوت الهجين بين أجزاء الالتقاط والوضع والأجزاء المؤازرة.</t>
  </si>
  <si>
    <t xml:space="preserve">The hybrid design lowered the cost of the machine.</t>
  </si>
  <si>
    <t xml:space="preserve">خفّض التصميم الهجين تكلفة الآلة.</t>
  </si>
  <si>
    <t xml:space="preserve">S1-BIOL-012</t>
  </si>
  <si>
    <t xml:space="preserve">Inhibitory</t>
  </si>
  <si>
    <t xml:space="preserve">مُثبِّط</t>
  </si>
  <si>
    <t xml:space="preserve">in-HIB-ih-tor-ee</t>
  </si>
  <si>
    <t xml:space="preserve">A neural connection that suppresses or reduces activity.</t>
  </si>
  <si>
    <t xml:space="preserve">An inhibitory connection reduces neural activity.</t>
  </si>
  <si>
    <t xml:space="preserve">يقلل الاتصال المُثبِّط النشاط العصبي.</t>
  </si>
  <si>
    <t xml:space="preserve">Inhibitory signals stop the neuron from firing.</t>
  </si>
  <si>
    <t xml:space="preserve">تمنع الإشارات المُثبِّطة العصبون من النشاط.</t>
  </si>
  <si>
    <t xml:space="preserve">S1-BIOL-013</t>
  </si>
  <si>
    <t xml:space="preserve">Light phobe</t>
  </si>
  <si>
    <t xml:space="preserve">نافر الضوء</t>
  </si>
  <si>
    <t xml:space="preserve">LYTE FOHB</t>
  </si>
  <si>
    <t xml:space="preserve">A Braitenberg vehicle that turns away from lights.</t>
  </si>
  <si>
    <t xml:space="preserve">A light phobe turns away from the light.</t>
  </si>
  <si>
    <t xml:space="preserve">يبتعد نافر الضوء عن الضوء.</t>
  </si>
  <si>
    <t xml:space="preserve">The light phobe hides in the dark corner.</t>
  </si>
  <si>
    <t xml:space="preserve">يختبئ نافر الضوء في الزاوية المظلمة.</t>
  </si>
  <si>
    <t xml:space="preserve">S1-BIOL-015</t>
  </si>
  <si>
    <t xml:space="preserve">Machina Speculatrix</t>
  </si>
  <si>
    <t xml:space="preserve">ماكينا سبيكيولاتركس</t>
  </si>
  <si>
    <t xml:space="preserve">muh-KEE-nuh spek-yuh-LAY-triks</t>
  </si>
  <si>
    <t xml:space="preserve">A light-seeking robot built by W. Grey Walter in the 1940s.</t>
  </si>
  <si>
    <t xml:space="preserve">Machina speculatrix was an early light-seeking robot.</t>
  </si>
  <si>
    <t xml:space="preserve">كان ماكينا سبيكيولاتركس روبوتاً مبكراً يبحث عن الضوء.</t>
  </si>
  <si>
    <t xml:space="preserve">Grey Walter built it in the 1940s.</t>
  </si>
  <si>
    <t xml:space="preserve">بناه غراي والتر في الأربعينيات.</t>
  </si>
  <si>
    <t xml:space="preserve">S1-EMRG-001</t>
  </si>
  <si>
    <t xml:space="preserve">تقنية النانو</t>
  </si>
  <si>
    <t xml:space="preserve">nan-oh-tek-NOL-uh-jee</t>
  </si>
  <si>
    <t xml:space="preserve">Emerging Technology</t>
  </si>
  <si>
    <t xml:space="preserve">The science of studying and creating products at the molecular scale.</t>
  </si>
  <si>
    <t xml:space="preserve">Nanotechnology builds products at the molecular scale.</t>
  </si>
  <si>
    <t xml:space="preserve">تصنع تقنية النانو منتجات على المقياس الجزيئي.</t>
  </si>
  <si>
    <t xml:space="preserve">Nanotechnology may lead to tiny medical robots.</t>
  </si>
  <si>
    <t xml:space="preserve">قد تقود تقنية النانو إلى روبوتات طبية صغيرة جداً.</t>
  </si>
  <si>
    <t xml:space="preserve">S1-ROBT-020</t>
  </si>
  <si>
    <t xml:space="preserve">Parallel Robot</t>
  </si>
  <si>
    <t xml:space="preserve">روبوت متوازٍ</t>
  </si>
  <si>
    <t xml:space="preserve">PAIR-uh-lel ROH-bot</t>
  </si>
  <si>
    <t xml:space="preserve">A robot whose joints match one another in position and direction.</t>
  </si>
  <si>
    <t xml:space="preserve">A parallel robot is very fast and rigid.</t>
  </si>
  <si>
    <t xml:space="preserve">الروبوت المتوازي سريع جداً وصلب.</t>
  </si>
  <si>
    <t xml:space="preserve">Delta robots are a type of parallel robot.</t>
  </si>
  <si>
    <t xml:space="preserve">روبوتات دلتا نوع من الروبوتات المتوازية.</t>
  </si>
  <si>
    <t xml:space="preserve">S1-BIOL-017</t>
  </si>
  <si>
    <t xml:space="preserve">Pheromone</t>
  </si>
  <si>
    <t xml:space="preserve">فيرومون</t>
  </si>
  <si>
    <t xml:space="preserve">FAIR-uh-mohn</t>
  </si>
  <si>
    <t xml:space="preserve">A chemical signal released by an organism that triggers a response in others.</t>
  </si>
  <si>
    <t xml:space="preserve">Ants leave a pheromone trail for others to follow.</t>
  </si>
  <si>
    <t xml:space="preserve">تترك النمل أثراً من الفيرمون ليتبعه الآخرون.</t>
  </si>
  <si>
    <t xml:space="preserve">Robot swarms can copy pheromone communication.</t>
  </si>
  <si>
    <t xml:space="preserve">تستطيع أسراب الروبوتات محاكاة التواصل بالفيرمونات.</t>
  </si>
  <si>
    <t xml:space="preserve">S1-NANO-002</t>
  </si>
  <si>
    <t xml:space="preserve">Positional Assembly</t>
  </si>
  <si>
    <t xml:space="preserve">التجميع الموضعي</t>
  </si>
  <si>
    <t xml:space="preserve">puh-ZISH-uh-nul uh-SEM-blee</t>
  </si>
  <si>
    <t xml:space="preserve">Molecular-scale production using component automation.</t>
  </si>
  <si>
    <t xml:space="preserve">Positional assembly builds products from molecules one by one.</t>
  </si>
  <si>
    <t xml:space="preserve">يبني التجميع الموضعي المنتجات من الجزيئات واحداً تلو الآخر.</t>
  </si>
  <si>
    <t xml:space="preserve">Positional assembly is a topic in nanotechnology.</t>
  </si>
  <si>
    <t xml:space="preserve">التجميع الموضعي موضوع في تقنية النانو.</t>
  </si>
  <si>
    <t xml:space="preserve">S1-NANO-003</t>
  </si>
  <si>
    <t xml:space="preserve">Self-Assembly</t>
  </si>
  <si>
    <t xml:space="preserve">التجميع الذاتي</t>
  </si>
  <si>
    <t xml:space="preserve">self uh-SEM-blee</t>
  </si>
  <si>
    <t xml:space="preserve">A nanotechnology branch in which structures form without external prompting.</t>
  </si>
  <si>
    <t xml:space="preserve">Self-assembly means structures form by themselves.</t>
  </si>
  <si>
    <t xml:space="preserve">يعني التجميع الذاتي أن البنى تتكوّن من تلقاء نفسها.</t>
  </si>
  <si>
    <t xml:space="preserve">Self-assembly is studied in nanotechnology.</t>
  </si>
  <si>
    <t xml:space="preserve">يُدرس التجميع الذاتي في تقنية النانو.</t>
  </si>
  <si>
    <t xml:space="preserve">S1-NANO-004</t>
  </si>
  <si>
    <t xml:space="preserve">Self-Replication</t>
  </si>
  <si>
    <t xml:space="preserve">التكاثر الذاتي</t>
  </si>
  <si>
    <t xml:space="preserve">self rep-lih-KAY-shun</t>
  </si>
  <si>
    <t xml:space="preserve">Nanotechnology systems that make copies of themselves.</t>
  </si>
  <si>
    <t xml:space="preserve">Self-replication means a system makes copies of itself.</t>
  </si>
  <si>
    <t xml:space="preserve">يعني التكاثر الذاتي أن النظام ينتج نسخاً من نفسه.</t>
  </si>
  <si>
    <t xml:space="preserve">Self-replicating machines are still a research idea.</t>
  </si>
  <si>
    <t xml:space="preserve">الآلات ذاتية التكاثر لا تزال فكرة بحثية.</t>
  </si>
  <si>
    <t xml:space="preserve">S1-BIOL-018</t>
  </si>
  <si>
    <t xml:space="preserve">Shy Light seeker</t>
  </si>
  <si>
    <t xml:space="preserve">باحث الضوء الخجول</t>
  </si>
  <si>
    <t xml:space="preserve">SHY LYTE SEEK-er</t>
  </si>
  <si>
    <t xml:space="preserve">A Braitenberg vehicle that moves toward lights but slows as it gets close.</t>
  </si>
  <si>
    <t xml:space="preserve">A shy light seeker approaches light but slows down near it.</t>
  </si>
  <si>
    <t xml:space="preserve">يقترب باحث الضوء الخجول من الضوء لكنه يبطئ قربه.</t>
  </si>
  <si>
    <t xml:space="preserve">It shows a simple type of robot behavior.</t>
  </si>
  <si>
    <t xml:space="preserve">يُظهر نوعاً بسيطاً من سلوك الروبوت.</t>
  </si>
  <si>
    <t xml:space="preserve">S1-ROBT-026</t>
  </si>
  <si>
    <t xml:space="preserve">Spherical Robot</t>
  </si>
  <si>
    <t xml:space="preserve">روبوت كروي</t>
  </si>
  <si>
    <t xml:space="preserve">SFIR-ih-kul ROH-bot</t>
  </si>
  <si>
    <t xml:space="preserve">A robot with three joints that move in a polar coordinate system.</t>
  </si>
  <si>
    <t xml:space="preserve">A spherical robot moves in a polar coordinate system.</t>
  </si>
  <si>
    <t xml:space="preserve">يتحرك الروبوت الكروي في نظام إحداثيات قطبي.</t>
  </si>
  <si>
    <t xml:space="preserve">The spherical robot has a rotating base and arm.</t>
  </si>
  <si>
    <t xml:space="preserve">للروبوت الكروي قاعدة وذراع دوّارتان.</t>
  </si>
  <si>
    <t xml:space="preserve">S1-CMAI-005</t>
  </si>
  <si>
    <t xml:space="preserve">World Model</t>
  </si>
  <si>
    <t xml:space="preserve">نموذج البيئة</t>
  </si>
  <si>
    <t xml:space="preserve">WURLD MOD-ul</t>
  </si>
  <si>
    <t xml:space="preserve">A stored three-dimensional representation of the robot's environment, updated as objects are sensed.</t>
  </si>
  <si>
    <t xml:space="preserve">The robot keeps a world model of its environment.</t>
  </si>
  <si>
    <t xml:space="preserve">يحتفظ الروبوت بنموذج للبيئة المحيطة به.</t>
  </si>
  <si>
    <t xml:space="preserve">The world model is updated when new objects are sensed.</t>
  </si>
  <si>
    <t xml:space="preserve">يُحدَّث نموذج البيئة عند استشعار أجسام جديدة.</t>
  </si>
  <si>
    <t xml:space="preserve">S2-QUAL-001</t>
  </si>
  <si>
    <t xml:space="preserve">Accuracy</t>
  </si>
  <si>
    <t xml:space="preserve">الدقة</t>
  </si>
  <si>
    <t xml:space="preserve">AK-yer-uh-see</t>
  </si>
  <si>
    <t xml:space="preserve">Quality &amp; Measurement</t>
  </si>
  <si>
    <t xml:space="preserve">How closely a robot reaches a commanded point, which is usually less precise than its repeatability.</t>
  </si>
  <si>
    <t xml:space="preserve">The accuracy of the robot is 0.1 mm at the target point.</t>
  </si>
  <si>
    <t xml:space="preserve">دقة الروبوت 0.1 ملم عند النقطة المستهدفة.</t>
  </si>
  <si>
    <t xml:space="preserve">Accuracy is usually worse than repeatability in industrial arms.</t>
  </si>
  <si>
    <t xml:space="preserve">الدقة عادةً أسوأ من قابلية التكرار في الأذرع الصناعية.</t>
  </si>
  <si>
    <t xml:space="preserve">2 – Control &amp; Motion | التحكم والحركة</t>
  </si>
  <si>
    <t xml:space="preserve">S7-INTV-001</t>
  </si>
  <si>
    <t xml:space="preserve">S2-CTRL-003</t>
  </si>
  <si>
    <t xml:space="preserve">Closed-Loop Control</t>
  </si>
  <si>
    <t xml:space="preserve">التحكم بالحلقة المغلقة</t>
  </si>
  <si>
    <t xml:space="preserve">KLOHZD LOOP kun-TROHL</t>
  </si>
  <si>
    <t xml:space="preserve">A control method that measures the output and corrects the command based on the error.</t>
  </si>
  <si>
    <t xml:space="preserve">Closed-loop control uses sensor feedback to correct the error.</t>
  </si>
  <si>
    <t xml:space="preserve">يستخدم التحكم بالحلقة المغلقة تغذية راجعة من الحساس لتصحيح الخطأ.</t>
  </si>
  <si>
    <t xml:space="preserve">A thermostat is a simple closed-loop control system.</t>
  </si>
  <si>
    <t xml:space="preserve">منظم الحرارة نظام تحكم بسيط بالحلقة المغلقة.</t>
  </si>
  <si>
    <t xml:space="preserve">S7-INTV-003</t>
  </si>
  <si>
    <t xml:space="preserve">S2-CTRL-005</t>
  </si>
  <si>
    <t xml:space="preserve">Control Engineering</t>
  </si>
  <si>
    <t xml:space="preserve">هندسة التحكم</t>
  </si>
  <si>
    <t xml:space="preserve">kun-TROHL en-juh-NEER-ing</t>
  </si>
  <si>
    <t xml:space="preserve">The study of how to achieve control of systems.</t>
  </si>
  <si>
    <t xml:space="preserve">Control engineering designs systems that keep machines stable.</t>
  </si>
  <si>
    <t xml:space="preserve">تصمم هندسة التحكم أنظمة تُبقي الآلات مستقرة.</t>
  </si>
  <si>
    <t xml:space="preserve">He took a course in control engineering.</t>
  </si>
  <si>
    <t xml:space="preserve">أخذ مساقاً في هندسة التحكم.</t>
  </si>
  <si>
    <t xml:space="preserve">S2-CTRL-007</t>
  </si>
  <si>
    <t xml:space="preserve">Controller</t>
  </si>
  <si>
    <t xml:space="preserve">المتحكم</t>
  </si>
  <si>
    <t xml:space="preserve">kun-TROH-ler</t>
  </si>
  <si>
    <t xml:space="preserve">A processing device that compares desired and measured values and outputs drive signals to motors or actuators.</t>
  </si>
  <si>
    <t xml:space="preserve">The controller compares the target value with the measured value.</t>
  </si>
  <si>
    <t xml:space="preserve">يقارن المتحكم القيمة المطلوبة بالقيمة المقاسة.</t>
  </si>
  <si>
    <t xml:space="preserve">We replaced the controller after it overheated.</t>
  </si>
  <si>
    <t xml:space="preserve">استبدلنا المتحكم بعد أن سخن بشكل زائد.</t>
  </si>
  <si>
    <t xml:space="preserve">S7-TRBL-009</t>
  </si>
  <si>
    <t xml:space="preserve">S2-CTRL-010</t>
  </si>
  <si>
    <t xml:space="preserve">Error</t>
  </si>
  <si>
    <t xml:space="preserve">الخطأ</t>
  </si>
  <si>
    <t xml:space="preserve">ER-er</t>
  </si>
  <si>
    <t xml:space="preserve">The difference between a robot's actual response and the command issued.</t>
  </si>
  <si>
    <t xml:space="preserve">The error is the difference between the target and the actual position.</t>
  </si>
  <si>
    <t xml:space="preserve">الخطأ هو الفرق بين الموضع المستهدف والموضع الفعلي.</t>
  </si>
  <si>
    <t xml:space="preserve">The controller works to reduce the error to zero.</t>
  </si>
  <si>
    <t xml:space="preserve">يعمل المتحكم على خفض الخطأ إلى الصفر.</t>
  </si>
  <si>
    <t xml:space="preserve">S2-CTRL-011</t>
  </si>
  <si>
    <t xml:space="preserve">Feedback</t>
  </si>
  <si>
    <t xml:space="preserve">التغذية الراجعة</t>
  </si>
  <si>
    <t xml:space="preserve">FEED-bak</t>
  </si>
  <si>
    <t xml:space="preserve">A signal from robot equipment reporting actual conditions rather than what the computer commanded.</t>
  </si>
  <si>
    <t xml:space="preserve">Feedback tells the controller what the robot is really doing.</t>
  </si>
  <si>
    <t xml:space="preserve">تخبر التغذية الراجعة المتحكم بما يفعله الروبوت فعلاً.</t>
  </si>
  <si>
    <t xml:space="preserve">Without feedback the system cannot correct its errors.</t>
  </si>
  <si>
    <t xml:space="preserve">بدون تغذية راجعة لا يستطيع النظام تصحيح أخطائه.</t>
  </si>
  <si>
    <t xml:space="preserve">S2-CTRL-012</t>
  </si>
  <si>
    <t xml:space="preserve">Feedback Control</t>
  </si>
  <si>
    <t xml:space="preserve">التحكم بالتغذية الراجعة</t>
  </si>
  <si>
    <t xml:space="preserve">FEED-bak kun-TROHL</t>
  </si>
  <si>
    <t xml:space="preserve">Control achieved by returning manipulator or sensor information to the controller to produce a desired effect.</t>
  </si>
  <si>
    <t xml:space="preserve">Feedback control keeps the motor at the desired speed.</t>
  </si>
  <si>
    <t xml:space="preserve">يُبقي التحكم بالتغذية الراجعة المحرك عند السرعة المطلوبة.</t>
  </si>
  <si>
    <t xml:space="preserve">Most industrial robots use feedback control.</t>
  </si>
  <si>
    <t xml:space="preserve">معظم الروبوتات الصناعية تستخدم التحكم بالتغذية الراجعة.</t>
  </si>
  <si>
    <t xml:space="preserve">S2-CTRL-013</t>
  </si>
  <si>
    <t xml:space="preserve">Feedback Loop</t>
  </si>
  <si>
    <t xml:space="preserve">حلقة التغذية الراجعة</t>
  </si>
  <si>
    <t xml:space="preserve">FEED-bak LOOP</t>
  </si>
  <si>
    <t xml:space="preserve">A circular route along which information travels.</t>
  </si>
  <si>
    <t xml:space="preserve">A feedback loop sends the output back to the input.</t>
  </si>
  <si>
    <t xml:space="preserve">تعيد حلقة التغذية الراجعة المخرجات إلى المدخلات.</t>
  </si>
  <si>
    <t xml:space="preserve">The thermostat is a classic feedback loop.</t>
  </si>
  <si>
    <t xml:space="preserve">منظم الحرارة مثال كلاسيكي على حلقة التغذية الراجعة.</t>
  </si>
  <si>
    <t xml:space="preserve">S2-CTRL-016</t>
  </si>
  <si>
    <t xml:space="preserve">Gain</t>
  </si>
  <si>
    <t xml:space="preserve">الكسب</t>
  </si>
  <si>
    <t xml:space="preserve">GAYN</t>
  </si>
  <si>
    <t xml:space="preserve">A multiplier applied to a control signal; PID gains set responses to error, accumulated error, and error rate.</t>
  </si>
  <si>
    <t xml:space="preserve">Increasing the gain makes the controller respond faster.</t>
  </si>
  <si>
    <t xml:space="preserve">زيادة الكسب تجعل المتحكم يستجيب أسرع.</t>
  </si>
  <si>
    <t xml:space="preserve">Too much gain can cause oscillation.</t>
  </si>
  <si>
    <t xml:space="preserve">الكسب الزائد قد يسبب التذبذب.</t>
  </si>
  <si>
    <t xml:space="preserve">S7-INTV-004; S7-TRBL-002</t>
  </si>
  <si>
    <t xml:space="preserve">S2-CTRL-018</t>
  </si>
  <si>
    <t xml:space="preserve">Open-Loop Control</t>
  </si>
  <si>
    <t xml:space="preserve">التحكم بالحلقة المفتوحة</t>
  </si>
  <si>
    <t xml:space="preserve">OH-pun LOOP kun-TROHL</t>
  </si>
  <si>
    <t xml:space="preserve">Control that issues commands without sensor feedback, so missed steps go undetected.</t>
  </si>
  <si>
    <t xml:space="preserve">Open-loop control has no sensor feedback.</t>
  </si>
  <si>
    <t xml:space="preserve">التحكم بالحلقة المفتوحة لا يحتوي تغذية راجعة من الحساس.</t>
  </si>
  <si>
    <t xml:space="preserve">A stepper motor can run with open-loop control.</t>
  </si>
  <si>
    <t xml:space="preserve">يستطيع المحرك الخطوي العمل بالتحكم بالحلقة المفتوحة.</t>
  </si>
  <si>
    <t xml:space="preserve">S7-INTV-003; S7-TRBL-004</t>
  </si>
  <si>
    <t xml:space="preserve">S2-MOTN-011</t>
  </si>
  <si>
    <t xml:space="preserve">Path</t>
  </si>
  <si>
    <t xml:space="preserve">المسار</t>
  </si>
  <si>
    <t xml:space="preserve">PATH</t>
  </si>
  <si>
    <t xml:space="preserve">Motion Control</t>
  </si>
  <si>
    <t xml:space="preserve">The continuous set of points traced by the tool center point in a coordinate system.</t>
  </si>
  <si>
    <t xml:space="preserve">The robot follows a path from point A to point B.</t>
  </si>
  <si>
    <t xml:space="preserve">يتبع الروبوت مساراً من النقطة A إلى النقطة B.</t>
  </si>
  <si>
    <t xml:space="preserve">We changed the path to avoid the obstacle.</t>
  </si>
  <si>
    <t xml:space="preserve">غيّرنا المسار لتجنب العائق.</t>
  </si>
  <si>
    <t xml:space="preserve">S2-CTRL-020</t>
  </si>
  <si>
    <t xml:space="preserve">PID Controller</t>
  </si>
  <si>
    <t xml:space="preserve">متحكم PID</t>
  </si>
  <si>
    <t xml:space="preserve">PEE-EYE-DEE kun-TROH-ler</t>
  </si>
  <si>
    <t xml:space="preserve">A feedback controller combining proportional, integral, and derivative actions, widely used because it needs no detailed model.</t>
  </si>
  <si>
    <t xml:space="preserve">A PID controller uses proportional, integral, and derivative actions.</t>
  </si>
  <si>
    <t xml:space="preserve">يستخدم متحكم PID الإجراءات التناسبية والتكاملية والتفاضلية.</t>
  </si>
  <si>
    <t xml:space="preserve">We tuned the PID controller to remove the overshoot.</t>
  </si>
  <si>
    <t xml:space="preserve">ضبطنا متحكم PID لإزالة التجاوز.</t>
  </si>
  <si>
    <t xml:space="preserve">S2-QUAL-003</t>
  </si>
  <si>
    <t xml:space="preserve">Precision</t>
  </si>
  <si>
    <t xml:space="preserve">الضبط (الإحكام)</t>
  </si>
  <si>
    <t xml:space="preserve">prih-SIZH-un</t>
  </si>
  <si>
    <t xml:space="preserve">How close repeated measurements are to each other.</t>
  </si>
  <si>
    <t xml:space="preserve">Precision means repeated measurements are close to each other.</t>
  </si>
  <si>
    <t xml:space="preserve">الضبط يعني أن القياسات المتكررة متقاربة.</t>
  </si>
  <si>
    <t xml:space="preserve">A sensor can be precise but not accurate.</t>
  </si>
  <si>
    <t xml:space="preserve">قد يكون الحساس مضبوطاً لكنه غير دقيق.</t>
  </si>
  <si>
    <t xml:space="preserve">S2-CTRL-022</t>
  </si>
  <si>
    <t xml:space="preserve">Proportional Control</t>
  </si>
  <si>
    <t xml:space="preserve">التحكم التناسبي</t>
  </si>
  <si>
    <t xml:space="preserve">pruh-POR-shuh-nul kun-TROHL</t>
  </si>
  <si>
    <t xml:space="preserve">A control strategy where the output equals the error multiplied by a constant.</t>
  </si>
  <si>
    <t xml:space="preserve">Proportional control makes the output proportional to the error.</t>
  </si>
  <si>
    <t xml:space="preserve">يجعل التحكم التناسبي الخرج متناسباً مع الخطأ.</t>
  </si>
  <si>
    <t xml:space="preserve">A higher proportional gain gives a faster response.</t>
  </si>
  <si>
    <t xml:space="preserve">كسب تناسبي أعلى يعطي استجابة أسرع.</t>
  </si>
  <si>
    <t xml:space="preserve">S2-MATH-019</t>
  </si>
  <si>
    <t xml:space="preserve">Scale</t>
  </si>
  <si>
    <t xml:space="preserve">التحجيم / المقياس</t>
  </si>
  <si>
    <t xml:space="preserve">SKAYL</t>
  </si>
  <si>
    <t xml:space="preserve">Math</t>
  </si>
  <si>
    <t xml:space="preserve">Changing magnitude by multiplying with a scalar.</t>
  </si>
  <si>
    <t xml:space="preserve">We scale the signal to match the controller input range.</t>
  </si>
  <si>
    <t xml:space="preserve">نحجّم الإشارة لتطابق مدى دخل المتحكم.</t>
  </si>
  <si>
    <t xml:space="preserve">The scale factor is 0.5.</t>
  </si>
  <si>
    <t xml:space="preserve">معامل التحجيم 0.5.</t>
  </si>
  <si>
    <t xml:space="preserve">S2-KINE-025</t>
  </si>
  <si>
    <t xml:space="preserve">Swing</t>
  </si>
  <si>
    <t xml:space="preserve">التأرجح / الدوران</t>
  </si>
  <si>
    <t xml:space="preserve">SWING</t>
  </si>
  <si>
    <t xml:space="preserve">Rotational movement of a robot about its centerline.</t>
  </si>
  <si>
    <t xml:space="preserve">The robot swings around its base.</t>
  </si>
  <si>
    <t xml:space="preserve">يدور الروبوت حول قاعدته.</t>
  </si>
  <si>
    <t xml:space="preserve">The swing of the arm is limited by the cable.</t>
  </si>
  <si>
    <t xml:space="preserve">يُحدّ الكابل من تأرجح الذراع.</t>
  </si>
  <si>
    <t xml:space="preserve">S2-KINE-002</t>
  </si>
  <si>
    <t xml:space="preserve">Actual Position</t>
  </si>
  <si>
    <t xml:space="preserve">الموضع الفعلي</t>
  </si>
  <si>
    <t xml:space="preserve">AK-choo-ul puh-ZISH-un</t>
  </si>
  <si>
    <t xml:space="preserve">Where the tool control point really is, which can differ from the commanded position because of unsensed errors.</t>
  </si>
  <si>
    <t xml:space="preserve">The encoder reports the actual position of the joint.</t>
  </si>
  <si>
    <t xml:space="preserve">يُبلغ المُرمِّز عن الموضع الفعلي للمفصل.</t>
  </si>
  <si>
    <t xml:space="preserve">The actual position differs slightly from the command position because of load.</t>
  </si>
  <si>
    <t xml:space="preserve">يختلف الموضع الفعلي قليلاً عن الموضع المطلوب بسبب الحِمل.</t>
  </si>
  <si>
    <t xml:space="preserve">S2-DYNM-001</t>
  </si>
  <si>
    <t xml:space="preserve">Centrifugal Force</t>
  </si>
  <si>
    <t xml:space="preserve">القوة الطاردة المركزية</t>
  </si>
  <si>
    <t xml:space="preserve">sen-TRIF-yuh-gul FORS</t>
  </si>
  <si>
    <t xml:space="preserve">The outward radial force from a body rotating about an axis other than its center, which the joint must counter with torque.</t>
  </si>
  <si>
    <t xml:space="preserve">Centrifugal force pushes the load outward when the arm spins quickly.</t>
  </si>
  <si>
    <t xml:space="preserve">تدفع القوة الطاردة المركزية الحِمل إلى الخارج عندما تدور الذراع بسرعة.</t>
  </si>
  <si>
    <t xml:space="preserve">The joint motor must resist centrifugal force at high speed.</t>
  </si>
  <si>
    <t xml:space="preserve">يجب أن يقاوم محرك المفصل القوة الطاردة المركزية عند السرعة العالية.</t>
  </si>
  <si>
    <t xml:space="preserve">S2-MOTN-001</t>
  </si>
  <si>
    <t xml:space="preserve">Circular Motion Type</t>
  </si>
  <si>
    <t xml:space="preserve">نوع الحركة الدائرية</t>
  </si>
  <si>
    <t xml:space="preserve">SUR-kyuh-ler MOH-shun TYPE</t>
  </si>
  <si>
    <t xml:space="preserve">A programmed robot path that is circular in shape.</t>
  </si>
  <si>
    <t xml:space="preserve">Circular motion type moves the tool along an arc.</t>
  </si>
  <si>
    <t xml:space="preserve">يحرّك نوع الحركة الدائرية الأداة على قوس.</t>
  </si>
  <si>
    <t xml:space="preserve">We used circular motion type to weld around a pipe.</t>
  </si>
  <si>
    <t xml:space="preserve">استخدمنا نوع الحركة الدائرية للحام حول أنبوب.</t>
  </si>
  <si>
    <t xml:space="preserve">S2-KINE-004</t>
  </si>
  <si>
    <t xml:space="preserve">Command Position</t>
  </si>
  <si>
    <t xml:space="preserve">الموضع المطلوب</t>
  </si>
  <si>
    <t xml:space="preserve">kuh-MAND puh-ZISH-un</t>
  </si>
  <si>
    <t xml:space="preserve">The endpoint the controller is trying to reach during a motion.</t>
  </si>
  <si>
    <t xml:space="preserve">The controller sends the command position to the motors.</t>
  </si>
  <si>
    <t xml:space="preserve">يرسل المتحكم الموضع المطلوب إلى المحركات.</t>
  </si>
  <si>
    <t xml:space="preserve">The error is the difference between command position and actual position.</t>
  </si>
  <si>
    <t xml:space="preserve">الخطأ هو الفرق بين الموضع المطلوب والموضع الفعلي.</t>
  </si>
  <si>
    <t xml:space="preserve">S2-MECH-001</t>
  </si>
  <si>
    <t xml:space="preserve">Compliance</t>
  </si>
  <si>
    <t xml:space="preserve">المطاوعة</t>
  </si>
  <si>
    <t xml:space="preserve">kum-PLY-unts</t>
  </si>
  <si>
    <t xml:space="preserve">How much a structure deflects under load; the inverse of stiffness and different from backlash.</t>
  </si>
  <si>
    <t xml:space="preserve">Compliance measures how much a structure bends under force.</t>
  </si>
  <si>
    <t xml:space="preserve">تقيس المطاوعة مقدار انحناء الهيكل تحت القوة.</t>
  </si>
  <si>
    <t xml:space="preserve">Too much compliance makes the arm springy and less precise.</t>
  </si>
  <si>
    <t xml:space="preserve">المطاوعة الزائدة تجعل الذراع مرنة وأقل دقة.</t>
  </si>
  <si>
    <t xml:space="preserve">S2-ROBT-002</t>
  </si>
  <si>
    <t xml:space="preserve">Compliant Robot</t>
  </si>
  <si>
    <t xml:space="preserve">روبوت مطاوع</t>
  </si>
  <si>
    <t xml:space="preserve">kum-PLY-unt ROH-bot</t>
  </si>
  <si>
    <t xml:space="preserve">A robot that adjusts its motions to minimize external forces while performing tasks.</t>
  </si>
  <si>
    <t xml:space="preserve">A compliant robot adjusts its motion to reduce contact forces.</t>
  </si>
  <si>
    <t xml:space="preserve">يعدّل الروبوت المطاوع حركته لتقليل قوى التلامس.</t>
  </si>
  <si>
    <t xml:space="preserve">Compliant robots are safer to work beside people.</t>
  </si>
  <si>
    <t xml:space="preserve">الروبوتات المطاوعة أكثر أماناً للعمل بجانب الناس.</t>
  </si>
  <si>
    <t xml:space="preserve">S2-KINE-005</t>
  </si>
  <si>
    <t xml:space="preserve">Configuration</t>
  </si>
  <si>
    <t xml:space="preserve">التهيئة / الوضعية</t>
  </si>
  <si>
    <t xml:space="preserve">kun-fig-yuh-RAY-shun</t>
  </si>
  <si>
    <t xml:space="preserve">The arrangement of links produced by a particular set of joint positions; several configurations can reach the same endpoint.</t>
  </si>
  <si>
    <t xml:space="preserve">The same endpoint can be reached with more than one arm configuration.</t>
  </si>
  <si>
    <t xml:space="preserve">يمكن الوصول إلى نقطة النهاية نفسها بأكثر من وضعية للذراع.</t>
  </si>
  <si>
    <t xml:space="preserve">Choose the configuration that avoids the obstacle.</t>
  </si>
  <si>
    <t xml:space="preserve">اختر الوضعية التي تتجنب العائق.</t>
  </si>
  <si>
    <t xml:space="preserve">S7-INTV-009; S7-TRBL-012</t>
  </si>
  <si>
    <t xml:space="preserve">S2-MOTN-003</t>
  </si>
  <si>
    <t xml:space="preserve">Continuous Path</t>
  </si>
  <si>
    <t xml:space="preserve">المسار المستمر</t>
  </si>
  <si>
    <t xml:space="preserve">kun-TIN-yoo-us PATH</t>
  </si>
  <si>
    <t xml:space="preserve">Control over the entire traversed path for smooth motion, as in spray painting.</t>
  </si>
  <si>
    <t xml:space="preserve">Spray painting needs continuous path control for smooth coverage.</t>
  </si>
  <si>
    <t xml:space="preserve">يحتاج الطلاء بالرش إلى تحكم بالمسار المستمر لتغطية سلسة.</t>
  </si>
  <si>
    <t xml:space="preserve">The robot follows a continuous path along the car door.</t>
  </si>
  <si>
    <t xml:space="preserve">يتبع الروبوت مساراً مستمراً على طول باب السيارة.</t>
  </si>
  <si>
    <t xml:space="preserve">S2-CTRL-004</t>
  </si>
  <si>
    <t xml:space="preserve">Control Algorithm</t>
  </si>
  <si>
    <t xml:space="preserve">خوارزمية التحكم</t>
  </si>
  <si>
    <t xml:space="preserve">kun-TROHL AL-guh-rith-um</t>
  </si>
  <si>
    <t xml:space="preserve">A method that detects trajectory deviations and computes actuator torques to correct them.</t>
  </si>
  <si>
    <t xml:space="preserve">The control algorithm corrects the error between target and actual motion.</t>
  </si>
  <si>
    <t xml:space="preserve">تصحح خوارزمية التحكم الخطأ بين الحركة المطلوبة والفعلية.</t>
  </si>
  <si>
    <t xml:space="preserve">We tuned the control algorithm to reduce vibration.</t>
  </si>
  <si>
    <t xml:space="preserve">ضبطنا خوارزمية التحكم لتقليل الاهتزاز.</t>
  </si>
  <si>
    <t xml:space="preserve">S2-KINE-007</t>
  </si>
  <si>
    <t xml:space="preserve">Dexterity</t>
  </si>
  <si>
    <t xml:space="preserve">البراعة / المهارة الحركية</t>
  </si>
  <si>
    <t xml:space="preserve">dek-STAIR-ih-tee</t>
  </si>
  <si>
    <t xml:space="preserve">A measure of a robot's skill at completing difficult paths.</t>
  </si>
  <si>
    <t xml:space="preserve">Dexterity shows how well a robot can follow a difficult path.</t>
  </si>
  <si>
    <t xml:space="preserve">تُظهر البراعة مدى قدرة الروبوت على اتباع مسار صعب.</t>
  </si>
  <si>
    <t xml:space="preserve">Surgical robots need high dexterity.</t>
  </si>
  <si>
    <t xml:space="preserve">تحتاج الروبوتات الجراحية إلى براعة عالية.</t>
  </si>
  <si>
    <t xml:space="preserve">S2-MATH-003</t>
  </si>
  <si>
    <t xml:space="preserve">Differentiation</t>
  </si>
  <si>
    <t xml:space="preserve">التفاضل</t>
  </si>
  <si>
    <t xml:space="preserve">dif-uh-ren-shee-AY-shun</t>
  </si>
  <si>
    <t xml:space="preserve">A calculus operation that finds the rate of change of a function; the reverse of integration.</t>
  </si>
  <si>
    <t xml:space="preserve">Differentiation gives the rate of change of a function.</t>
  </si>
  <si>
    <t xml:space="preserve">يعطي التفاضل معدل تغير الدالة.</t>
  </si>
  <si>
    <t xml:space="preserve">Velocity is found by differentiation of position.</t>
  </si>
  <si>
    <t xml:space="preserve">تُوجد السرعة بتفاضل الموضع.</t>
  </si>
  <si>
    <t xml:space="preserve">S2-DYNM-002</t>
  </si>
  <si>
    <t xml:space="preserve">الديناميكا</t>
  </si>
  <si>
    <t xml:space="preserve">dy-NAM-iks</t>
  </si>
  <si>
    <t xml:space="preserve">The study of motion, the forces causing it, and forces arising from it, which are complex in robot arms.</t>
  </si>
  <si>
    <t xml:space="preserve">Robot dynamics studies motion and the forces that cause it.</t>
  </si>
  <si>
    <t xml:space="preserve">تدرس ديناميكا الروبوت الحركة والقوى المسببة لها.</t>
  </si>
  <si>
    <t xml:space="preserve">The dynamics of a long arm are complex.</t>
  </si>
  <si>
    <t xml:space="preserve">ديناميكا الذراع الطويلة معقدة.</t>
  </si>
  <si>
    <t xml:space="preserve">S2-KINE-009</t>
  </si>
  <si>
    <t xml:space="preserve">Endpoint</t>
  </si>
  <si>
    <t xml:space="preserve">نقطة النهاية</t>
  </si>
  <si>
    <t xml:space="preserve">END-point</t>
  </si>
  <si>
    <t xml:space="preserve">The nominal commanded position a manipulator aims for at the end of a motion path, located at the distal link.</t>
  </si>
  <si>
    <t xml:space="preserve">The endpoint of the motion is the target position.</t>
  </si>
  <si>
    <t xml:space="preserve">نقطة نهاية الحركة هي الموضع المستهدف.</t>
  </si>
  <si>
    <t xml:space="preserve">The robot stops at the endpoint and waits for the next command.</t>
  </si>
  <si>
    <t xml:space="preserve">يتوقف الروبوت عند نقطة النهاية وينتظر الأمر التالي.</t>
  </si>
  <si>
    <t xml:space="preserve">S2-KINE-011</t>
  </si>
  <si>
    <t xml:space="preserve">Frame</t>
  </si>
  <si>
    <t xml:space="preserve">إطار مرجعي</t>
  </si>
  <si>
    <t xml:space="preserve">FRAYM</t>
  </si>
  <si>
    <t xml:space="preserve">A coordinate system that defines an object's or the robot's position and orientation in space.</t>
  </si>
  <si>
    <t xml:space="preserve">Each tool has its own coordinate frame.</t>
  </si>
  <si>
    <t xml:space="preserve">لكل أداة إطار إحداثيات خاص بها.</t>
  </si>
  <si>
    <t xml:space="preserve">Define the base frame before teaching the points.</t>
  </si>
  <si>
    <t xml:space="preserve">عرِّف إطار القاعدة قبل تعليم النقاط.</t>
  </si>
  <si>
    <t xml:space="preserve">S2-CTRL-017</t>
  </si>
  <si>
    <t xml:space="preserve">Integral control</t>
  </si>
  <si>
    <t xml:space="preserve">التحكم التكاملي</t>
  </si>
  <si>
    <t xml:space="preserve">IN-tuh-grul kun-TROHL</t>
  </si>
  <si>
    <t xml:space="preserve">A feedback control method where the output depends on the error and its past values.</t>
  </si>
  <si>
    <t xml:space="preserve">Integral control removes the steady-state error.</t>
  </si>
  <si>
    <t xml:space="preserve">يزيل التحكم التكاملي الخطأ المستقر.</t>
  </si>
  <si>
    <t xml:space="preserve">Integral control adds up the error over time.</t>
  </si>
  <si>
    <t xml:space="preserve">يجمع التحكم التكاملي الخطأ عبر الزمن.</t>
  </si>
  <si>
    <t xml:space="preserve">S7-INTV-004</t>
  </si>
  <si>
    <t xml:space="preserve">S2-MATH-008</t>
  </si>
  <si>
    <t xml:space="preserve">Integration</t>
  </si>
  <si>
    <t xml:space="preserve">التكامل</t>
  </si>
  <si>
    <t xml:space="preserve">in-tuh-GRAY-shun</t>
  </si>
  <si>
    <t xml:space="preserve">A calculus operation that finds the area under a function; the reverse of differentiation.</t>
  </si>
  <si>
    <t xml:space="preserve">Integration finds the area under a curve.</t>
  </si>
  <si>
    <t xml:space="preserve">يجد التكامل المساحة تحت المنحنى.</t>
  </si>
  <si>
    <t xml:space="preserve">Position is found by integration of velocity.</t>
  </si>
  <si>
    <t xml:space="preserve">يُوجد الموضع بتكامل السرعة.</t>
  </si>
  <si>
    <t xml:space="preserve">S2-MATH-009</t>
  </si>
  <si>
    <t xml:space="preserve">Iteration</t>
  </si>
  <si>
    <t xml:space="preserve">التكرار</t>
  </si>
  <si>
    <t xml:space="preserve">it-uh-RAY-shun</t>
  </si>
  <si>
    <t xml:space="preserve">Repeating a procedure to refine a solution.</t>
  </si>
  <si>
    <t xml:space="preserve">Each iteration brings the answer closer to the target.</t>
  </si>
  <si>
    <t xml:space="preserve">كل تكرار يقرّب الإجابة من الهدف.</t>
  </si>
  <si>
    <t xml:space="preserve">The solver stopped after ten iterations.</t>
  </si>
  <si>
    <t xml:space="preserve">توقف الحلّال بعد عشرة تكرارات.</t>
  </si>
  <si>
    <t xml:space="preserve">S2-MOTN-007</t>
  </si>
  <si>
    <t xml:space="preserve">Joint Motion Type</t>
  </si>
  <si>
    <t xml:space="preserve">نوع الحركة المفصلية</t>
  </si>
  <si>
    <t xml:space="preserve">JOYNT MOH-shun TYPE</t>
  </si>
  <si>
    <t xml:space="preserve">Point-to-point motion in which each joint moves directly to its target, so all axes arrive together along a non-linear path.</t>
  </si>
  <si>
    <t xml:space="preserve">Joint motion type moves each joint directly to its target.</t>
  </si>
  <si>
    <t xml:space="preserve">يحرّك نوع الحركة المفصلية كل مفصل مباشرة إلى هدفه.</t>
  </si>
  <si>
    <t xml:space="preserve">The path in joint motion type is not a straight line.</t>
  </si>
  <si>
    <t xml:space="preserve">المسار في نوع الحركة المفصلية ليس خطاً مستقيماً.</t>
  </si>
  <si>
    <t xml:space="preserve">S2-KINE-015</t>
  </si>
  <si>
    <t xml:space="preserve">الكينماتيكا (علم الحركة)</t>
  </si>
  <si>
    <t xml:space="preserve">kin-uh-MAT-iks</t>
  </si>
  <si>
    <t xml:space="preserve">The study of motion geometry (position, velocity, acceleration) without considering the forces causing it.</t>
  </si>
  <si>
    <t xml:space="preserve">Kinematics studies motion without considering forces.</t>
  </si>
  <si>
    <t xml:space="preserve">تدرس الكينماتيكا الحركة دون النظر إلى القوى.</t>
  </si>
  <si>
    <t xml:space="preserve">Forward and inverse kinematics are basic robotics topics.</t>
  </si>
  <si>
    <t xml:space="preserve">الكينماتيكا الأمامية والعكسية موضوعان أساسيان في الروبوتات.</t>
  </si>
  <si>
    <t xml:space="preserve">S2-MOTN-009</t>
  </si>
  <si>
    <t xml:space="preserve">Linear Motion Type</t>
  </si>
  <si>
    <t xml:space="preserve">نوع الحركة الخطية</t>
  </si>
  <si>
    <t xml:space="preserve">LIN-ee-er MOH-shun TYPE</t>
  </si>
  <si>
    <t xml:space="preserve">Coordinated joint motion that keeps the tool center point on a predictable straight path.</t>
  </si>
  <si>
    <t xml:space="preserve">Linear motion type keeps the tool on a straight path.</t>
  </si>
  <si>
    <t xml:space="preserve">يُبقي نوع الحركة الخطية الأداة على مسار مستقيم.</t>
  </si>
  <si>
    <t xml:space="preserve">Use linear motion type for gluing along an edge.</t>
  </si>
  <si>
    <t xml:space="preserve">استخدم نوع الحركة الخطية للصق على طول حافة.</t>
  </si>
  <si>
    <t xml:space="preserve">S2-KINE-016</t>
  </si>
  <si>
    <t xml:space="preserve">Motion Axis</t>
  </si>
  <si>
    <t xml:space="preserve">محور الحركة</t>
  </si>
  <si>
    <t xml:space="preserve">MOH-shun AK-sis</t>
  </si>
  <si>
    <t xml:space="preserve">The line defining the linear or rotary motion of a manipulator segment.</t>
  </si>
  <si>
    <t xml:space="preserve">Each motion axis can move independently.</t>
  </si>
  <si>
    <t xml:space="preserve">يستطيع كل محور حركة التحرك باستقلال.</t>
  </si>
  <si>
    <t xml:space="preserve">The robot has one rotary and two linear motion axes.</t>
  </si>
  <si>
    <t xml:space="preserve">للروبوت محور حركة دوراني واحد ومحورا حركة خطيان.</t>
  </si>
  <si>
    <t xml:space="preserve">S2-MOTN-010</t>
  </si>
  <si>
    <t xml:space="preserve">Motion Profile</t>
  </si>
  <si>
    <t xml:space="preserve">ملف الحركة</t>
  </si>
  <si>
    <t xml:space="preserve">MOH-shun PROH-fyle</t>
  </si>
  <si>
    <t xml:space="preserve">The planned position, velocity, and acceleration over time for a move, such as trapezoidal or S-curve.</t>
  </si>
  <si>
    <t xml:space="preserve">A trapezoidal motion profile has smooth acceleration and deceleration.</t>
  </si>
  <si>
    <t xml:space="preserve">لملف الحركة شبه المنحرف تسارع وتباطؤ سلسان.</t>
  </si>
  <si>
    <t xml:space="preserve">We changed the motion profile to reduce vibration.</t>
  </si>
  <si>
    <t xml:space="preserve">غيّرنا ملف الحركة لتقليل الاهتزاز.</t>
  </si>
  <si>
    <t xml:space="preserve">S7-TRBL-011</t>
  </si>
  <si>
    <t xml:space="preserve">S2-KINE-017</t>
  </si>
  <si>
    <t xml:space="preserve">Orientation</t>
  </si>
  <si>
    <t xml:space="preserve">الاتجاه / التوجيه</t>
  </si>
  <si>
    <t xml:space="preserve">or-ee-en-TAY-shun</t>
  </si>
  <si>
    <t xml:space="preserve">The angle of an object's major axis relative to a reference axis in three dimensions.</t>
  </si>
  <si>
    <t xml:space="preserve">The orientation of the tool must match the part.</t>
  </si>
  <si>
    <t xml:space="preserve">يجب أن يطابق اتجاه الأداة القطعة.</t>
  </si>
  <si>
    <t xml:space="preserve">Position and orientation together define the pose.</t>
  </si>
  <si>
    <t xml:space="preserve">يحدد الموضع والاتجاه معاً الوضعية.</t>
  </si>
  <si>
    <t xml:space="preserve">S2-CTRL-019</t>
  </si>
  <si>
    <t xml:space="preserve">Overshoot</t>
  </si>
  <si>
    <t xml:space="preserve">التجاوز</t>
  </si>
  <si>
    <t xml:space="preserve">OH-ver-shoot</t>
  </si>
  <si>
    <t xml:space="preserve">The amount a response exceeds its final target before settling, often caused by excessive gain.</t>
  </si>
  <si>
    <t xml:space="preserve">Overshoot means the response goes past the target.</t>
  </si>
  <si>
    <t xml:space="preserve">يعني التجاوز أن الاستجابة تتخطى الهدف.</t>
  </si>
  <si>
    <t xml:space="preserve">High gain often causes overshoot.</t>
  </si>
  <si>
    <t xml:space="preserve">الكسب العالي غالباً ما يسبب التجاوز.</t>
  </si>
  <si>
    <t xml:space="preserve">S2-KINE-018</t>
  </si>
  <si>
    <t xml:space="preserve">Pitch</t>
  </si>
  <si>
    <t xml:space="preserve">الميل (الخطوة)</t>
  </si>
  <si>
    <t xml:space="preserve">PICH</t>
  </si>
  <si>
    <t xml:space="preserve">Rotation of the end-effector in a vertical plane around the arm's end.</t>
  </si>
  <si>
    <t xml:space="preserve">Pitch rotates the end-effector up and down.</t>
  </si>
  <si>
    <t xml:space="preserve">يدوّر الميل المؤثر النهائي للأعلى والأسفل.</t>
  </si>
  <si>
    <t xml:space="preserve">The drone's pitch controls its forward motion.</t>
  </si>
  <si>
    <t xml:space="preserve">يتحكم ميل الطائرة المسيّرة في حركتها الأمامية.</t>
  </si>
  <si>
    <t xml:space="preserve">S2-MOTN-012</t>
  </si>
  <si>
    <t xml:space="preserve">Point-To-Point (PTP)</t>
  </si>
  <si>
    <t xml:space="preserve">من نقطة إلى نقطة</t>
  </si>
  <si>
    <t xml:space="preserve">POYNT too POYNT</t>
  </si>
  <si>
    <t xml:space="preserve">Manipulator motion through a limited set of specified points rather than a smooth continuous path.</t>
  </si>
  <si>
    <t xml:space="preserve">In point-to-point motion the robot goes directly from one point to the next.</t>
  </si>
  <si>
    <t xml:space="preserve">في حركة نقطة إلى نقطة يذهب الروبوت مباشرة من نقطة إلى التالية.</t>
  </si>
  <si>
    <t xml:space="preserve">PTP motion is fine for pick and place.</t>
  </si>
  <si>
    <t xml:space="preserve">حركة PTP مناسبة للالتقاط والوضع.</t>
  </si>
  <si>
    <t xml:space="preserve">S2-KINE-019</t>
  </si>
  <si>
    <t xml:space="preserve">Pose</t>
  </si>
  <si>
    <t xml:space="preserve">الوضعية</t>
  </si>
  <si>
    <t xml:space="preserve">POHZ</t>
  </si>
  <si>
    <t xml:space="preserve">A term for robot configuration that describes linear and angular position.</t>
  </si>
  <si>
    <t xml:space="preserve">The pose includes the position and orientation of the tool.</t>
  </si>
  <si>
    <t xml:space="preserve">تشمل الوضعية موضع الأداة واتجاهها.</t>
  </si>
  <si>
    <t xml:space="preserve">The camera estimates the pose of the object.</t>
  </si>
  <si>
    <t xml:space="preserve">تقدّر الكاميرا وضعية الجسم.</t>
  </si>
  <si>
    <t xml:space="preserve">S7-INTV-008</t>
  </si>
  <si>
    <t xml:space="preserve">S2-MATH-018</t>
  </si>
  <si>
    <t xml:space="preserve">Radians</t>
  </si>
  <si>
    <t xml:space="preserve">الراديان</t>
  </si>
  <si>
    <t xml:space="preserve">RAY-dee-unz</t>
  </si>
  <si>
    <t xml:space="preserve">A unit for measuring angles, where a full turn is 2π radians.</t>
  </si>
  <si>
    <t xml:space="preserve">Robot software often uses radians instead of degrees.</t>
  </si>
  <si>
    <t xml:space="preserve">غالباً ما تستخدم برمجيات الروبوت الراديان بدلاً من الدرجات.</t>
  </si>
  <si>
    <t xml:space="preserve">One full turn is 2π radians.</t>
  </si>
  <si>
    <t xml:space="preserve">الدورة الكاملة تساوي 2π راديان.</t>
  </si>
  <si>
    <t xml:space="preserve">S2-QUAL-004</t>
  </si>
  <si>
    <t xml:space="preserve">Repeatability</t>
  </si>
  <si>
    <t xml:space="preserve">قابلية التكرار</t>
  </si>
  <si>
    <t xml:space="preserve">rih-peet-uh-BIL-ih-tee</t>
  </si>
  <si>
    <t xml:space="preserve">How consistently a system returns to the same commanded position; distinct from accuracy.</t>
  </si>
  <si>
    <t xml:space="preserve">The repeatability of the robot is plus or minus 0.02 mm.</t>
  </si>
  <si>
    <t xml:space="preserve">قابلية التكرار للروبوت زائد أو ناقص 0.02 ملم.</t>
  </si>
  <si>
    <t xml:space="preserve">Good repeatability matters more than accuracy in many tasks.</t>
  </si>
  <si>
    <t xml:space="preserve">قابلية التكرار الجيدة أهم من الدقة في مهام كثيرة.</t>
  </si>
  <si>
    <t xml:space="preserve">S2-KINE-024</t>
  </si>
  <si>
    <t xml:space="preserve">Roll</t>
  </si>
  <si>
    <t xml:space="preserve">الدوران حول المحور الطولي (Roll)</t>
  </si>
  <si>
    <t xml:space="preserve">ROHL</t>
  </si>
  <si>
    <t xml:space="preserve">Rotation of the end-effector in a plane perpendicular to the arm's end.</t>
  </si>
  <si>
    <t xml:space="preserve">Roll rotates the end-effector around the arm axis.</t>
  </si>
  <si>
    <t xml:space="preserve">يدوّر الدوران الطولي المؤثر النهائي حول محور الذراع.</t>
  </si>
  <si>
    <t xml:space="preserve">The pilot adjusted the aircraft's roll.</t>
  </si>
  <si>
    <t xml:space="preserve">عدّل الطيار دوران الطائرة الطولي.</t>
  </si>
  <si>
    <t xml:space="preserve">S2-CTRL-025</t>
  </si>
  <si>
    <t xml:space="preserve">Servo / Servomechanism</t>
  </si>
  <si>
    <t xml:space="preserve">آلية مؤازرة (سيرفو)</t>
  </si>
  <si>
    <t xml:space="preserve">SUR-voh / sur-voh-MEK-uh-niz-um</t>
  </si>
  <si>
    <t xml:space="preserve">An automatic device that uses feedback control to set its output, made up of the controlled device, sensors, and a control mechanism.</t>
  </si>
  <si>
    <t xml:space="preserve">A servomechanism uses feedback to control its output.</t>
  </si>
  <si>
    <t xml:space="preserve">تستخدم الآلية المؤازرة التغذية الراجعة للتحكم في خرجها.</t>
  </si>
  <si>
    <t xml:space="preserve">A hobby servo is a small servomechanism.</t>
  </si>
  <si>
    <t xml:space="preserve">السيرفو الهواة آلية مؤازرة صغيرة.</t>
  </si>
  <si>
    <t xml:space="preserve">S2-CTRL-026</t>
  </si>
  <si>
    <t xml:space="preserve">Servo Control</t>
  </si>
  <si>
    <t xml:space="preserve">التحكم المؤازر</t>
  </si>
  <si>
    <t xml:space="preserve">SUR-voh kun-TROHL</t>
  </si>
  <si>
    <t xml:space="preserve">Checking whether the robot's actual pose matches the pose specified by the motion plan.</t>
  </si>
  <si>
    <t xml:space="preserve">Servo control checks that the actual pose matches the plan.</t>
  </si>
  <si>
    <t xml:space="preserve">يتحقق التحكم المؤازر من أن الوضعية الفعلية تطابق الخطة.</t>
  </si>
  <si>
    <t xml:space="preserve">Servo control keeps the arm stable under load.</t>
  </si>
  <si>
    <t xml:space="preserve">يُبقي التحكم المؤازر الذراع مستقرة تحت الحِمل.</t>
  </si>
  <si>
    <t xml:space="preserve">S2-ROBT-004</t>
  </si>
  <si>
    <t xml:space="preserve">Servo-Controlled Robot</t>
  </si>
  <si>
    <t xml:space="preserve">روبوت بتحكم مؤازر</t>
  </si>
  <si>
    <t xml:space="preserve">SUR-voh kun-TROHLD ROH-bot</t>
  </si>
  <si>
    <t xml:space="preserve">A robot controlled by a closed-loop servo system that measures axis position through feedback devices.</t>
  </si>
  <si>
    <t xml:space="preserve">A servo-controlled robot uses feedback to reach positions accurately.</t>
  </si>
  <si>
    <t xml:space="preserve">يستخدم الروبوت ذو التحكم المؤازر التغذية الراجعة للوصول إلى المواضع بدقة.</t>
  </si>
  <si>
    <t xml:space="preserve">Most modern robots are servo-controlled robots.</t>
  </si>
  <si>
    <t xml:space="preserve">معظم الروبوتات الحديثة روبوتات ذات تحكم مؤازر.</t>
  </si>
  <si>
    <t xml:space="preserve">S2-CTRL-027</t>
  </si>
  <si>
    <t xml:space="preserve">Servo-System</t>
  </si>
  <si>
    <t xml:space="preserve">نظام مؤازر</t>
  </si>
  <si>
    <t xml:space="preserve">SUR-voh SIS-tum</t>
  </si>
  <si>
    <t xml:space="preserve">A loop in which the controller commands motors, and an encoder reports motion back until the arm reaches its target.</t>
  </si>
  <si>
    <t xml:space="preserve">A servo-system uses an encoder to report the motion back.</t>
  </si>
  <si>
    <t xml:space="preserve">يستخدم النظام المؤازر مُرمِّزاً لإرجاع الحركة.</t>
  </si>
  <si>
    <t xml:space="preserve">The servo-system corrects the position until the target is reached.</t>
  </si>
  <si>
    <t xml:space="preserve">يصحح النظام المؤازر الموضع حتى الوصول إلى الهدف.</t>
  </si>
  <si>
    <t xml:space="preserve">S2-DYNM-006</t>
  </si>
  <si>
    <t xml:space="preserve">Statics</t>
  </si>
  <si>
    <t xml:space="preserve">الإستاتيكا (علم السكون)</t>
  </si>
  <si>
    <t xml:space="preserve">STAT-iks</t>
  </si>
  <si>
    <t xml:space="preserve">Analysis of forces in the absence of motion.</t>
  </si>
  <si>
    <t xml:space="preserve">Statics studies forces when nothing is moving.</t>
  </si>
  <si>
    <t xml:space="preserve">تدرس الإستاتيكا القوى عندما لا يتحرك شيء.</t>
  </si>
  <si>
    <t xml:space="preserve">Statics is used to size the joint motors.</t>
  </si>
  <si>
    <t xml:space="preserve">تُستخدم الإستاتيكا لتحديد حجم محركات المفاصل.</t>
  </si>
  <si>
    <t xml:space="preserve">S2-MECH-002</t>
  </si>
  <si>
    <t xml:space="preserve">Stiffness</t>
  </si>
  <si>
    <t xml:space="preserve">الجساءة (الصلابة)</t>
  </si>
  <si>
    <t xml:space="preserve">STIF-nis</t>
  </si>
  <si>
    <t xml:space="preserve">A structure's resistance to deflection under load, which raises natural frequency and reduces positioning error.</t>
  </si>
  <si>
    <t xml:space="preserve">A stiff arm gives better positioning accuracy.</t>
  </si>
  <si>
    <t xml:space="preserve">الذراع الجاسئة تعطي دقة تموضع أفضل.</t>
  </si>
  <si>
    <t xml:space="preserve">Increase the stiffness to raise the natural frequency.</t>
  </si>
  <si>
    <t xml:space="preserve">زد الجساءة لرفع التردد الطبيعي.</t>
  </si>
  <si>
    <t xml:space="preserve">S2-KINE-026</t>
  </si>
  <si>
    <t xml:space="preserve">Tool Center Point (TCP)</t>
  </si>
  <si>
    <t xml:space="preserve">نقطة مركز الأداة</t>
  </si>
  <si>
    <t xml:space="preserve">TOOL SEN-ter POYNT</t>
  </si>
  <si>
    <t xml:space="preserve">The central axis of the tool's movement.</t>
  </si>
  <si>
    <t xml:space="preserve">The TCP is the point on the tool that touches the work.</t>
  </si>
  <si>
    <t xml:space="preserve">نقطة مركز الأداة هي النقطة التي تلمس العمل.</t>
  </si>
  <si>
    <t xml:space="preserve">Set the TCP correctly or the robot will miss the target.</t>
  </si>
  <si>
    <t xml:space="preserve">اضبط نقطة مركز الأداة بشكل صحيح وإلا أخطأ الروبوت الهدف.</t>
  </si>
  <si>
    <t xml:space="preserve">S7-INTV-013; S7-TRBL-013</t>
  </si>
  <si>
    <t xml:space="preserve">S2-MOTN-016</t>
  </si>
  <si>
    <t xml:space="preserve">Trajectory Planning</t>
  </si>
  <si>
    <t xml:space="preserve">تخطيط المسار</t>
  </si>
  <si>
    <t xml:space="preserve">truh-JEK-tuh-ree PLAN-ing</t>
  </si>
  <si>
    <t xml:space="preserve">Generating a time-based path for axes under limits on velocity, acceleration, jerk, and obstacles.</t>
  </si>
  <si>
    <t xml:space="preserve">Trajectory planning creates a smooth path over time.</t>
  </si>
  <si>
    <t xml:space="preserve">ينشئ تخطيط المسار مساراً سلساً عبر الزمن.</t>
  </si>
  <si>
    <t xml:space="preserve">Trajectory planning must respect the speed limits.</t>
  </si>
  <si>
    <t xml:space="preserve">يجب أن يحترم تخطيط المسار حدود السرعة.</t>
  </si>
  <si>
    <t xml:space="preserve">S2-KINE-029</t>
  </si>
  <si>
    <t xml:space="preserve">Yaw</t>
  </si>
  <si>
    <t xml:space="preserve">الانعراج (Yaw)</t>
  </si>
  <si>
    <t xml:space="preserve">YAW</t>
  </si>
  <si>
    <t xml:space="preserve">Rotation of the end-effector in a horizontal plane around the arm's end.</t>
  </si>
  <si>
    <t xml:space="preserve">Yaw rotates the end-effector left and right.</t>
  </si>
  <si>
    <t xml:space="preserve">يدوّر الانعراج المؤثر النهائي لليسار واليمين.</t>
  </si>
  <si>
    <t xml:space="preserve">A drone uses yaw to change its heading.</t>
  </si>
  <si>
    <t xml:space="preserve">تستخدم الطائرة المسيّرة الانعراج لتغيير اتجاهها.</t>
  </si>
  <si>
    <t xml:space="preserve">S2-KINE-001</t>
  </si>
  <si>
    <t xml:space="preserve">Acceleration Level</t>
  </si>
  <si>
    <t xml:space="preserve">مستوى التسارع</t>
  </si>
  <si>
    <t xml:space="preserve">ak-sel-er-AY-shun LEV-el</t>
  </si>
  <si>
    <t xml:space="preserve">Rate at which joint speeds change over time.</t>
  </si>
  <si>
    <t xml:space="preserve">The acceleration level of each joint must stay within the limits of the motors.</t>
  </si>
  <si>
    <t xml:space="preserve">يجب أن يبقى مستوى تسارع كل مفصل ضمن حدود المحركات.</t>
  </si>
  <si>
    <t xml:space="preserve">A high acceleration level shortens the cycle time but increases vibration.</t>
  </si>
  <si>
    <t xml:space="preserve">مستوى التسارع المرتفع يقصّر زمن الدورة لكنه يزيد الاهتزاز.</t>
  </si>
  <si>
    <t xml:space="preserve">S2-ROBT-001</t>
  </si>
  <si>
    <t xml:space="preserve">Active Compliant Robot</t>
  </si>
  <si>
    <t xml:space="preserve">روبوت ذو مطاوعة نشطة</t>
  </si>
  <si>
    <t xml:space="preserve">AK-tiv kum-PLY-unt ROH-bot</t>
  </si>
  <si>
    <t xml:space="preserve">A robot whose control system makes slight motion adjustments during a task to help complete it.</t>
  </si>
  <si>
    <t xml:space="preserve">An active compliant robot adjusts its motion when the part is slightly misaligned.</t>
  </si>
  <si>
    <t xml:space="preserve">يعدّل الروبوت المطاوع النشط حركته عندما تكون القطعة غير محاذاة قليلاً.</t>
  </si>
  <si>
    <t xml:space="preserve">We used an active compliant robot for the peg-in-hole insertion task.</t>
  </si>
  <si>
    <t xml:space="preserve">استخدمنا روبوتاً مطاوعاً نشطاً لمهمة إدخال الوتد في الثقب.</t>
  </si>
  <si>
    <t xml:space="preserve">S2-CTRL-001</t>
  </si>
  <si>
    <t xml:space="preserve">Actuator Saturation</t>
  </si>
  <si>
    <t xml:space="preserve">تشبّع المشغّل</t>
  </si>
  <si>
    <t xml:space="preserve">AK-choo-ay-ter sach-uh-RAY-shun</t>
  </si>
  <si>
    <t xml:space="preserve">A condition where a controller asks for more output than the actuator can deliver, which can cause windup and instability.</t>
  </si>
  <si>
    <t xml:space="preserve">Actuator saturation happens when the controller asks for too much output.</t>
  </si>
  <si>
    <t xml:space="preserve">يحدث تشبّع المشغّل عندما يطلب المتحكم مخرجات زائدة.</t>
  </si>
  <si>
    <t xml:space="preserve">Saturation can cause the integral term to wind up.</t>
  </si>
  <si>
    <t xml:space="preserve">قد يتسبب التشبّع في تراكم الحد التكاملي.</t>
  </si>
  <si>
    <t xml:space="preserve">S2-MATH-001</t>
  </si>
  <si>
    <t xml:space="preserve">Analytical Methods</t>
  </si>
  <si>
    <t xml:space="preserve">الطرق التحليلية</t>
  </si>
  <si>
    <t xml:space="preserve">an-uh-LIT-ik-ul METH-udz</t>
  </si>
  <si>
    <t xml:space="preserve">Solving problems mathematically without repeated approximation attempts.</t>
  </si>
  <si>
    <t xml:space="preserve">Analytical methods give an exact answer without repeated guessing.</t>
  </si>
  <si>
    <t xml:space="preserve">تعطي الطرق التحليلية إجابة دقيقة دون تخمين متكرر.</t>
  </si>
  <si>
    <t xml:space="preserve">Inverse kinematics can be solved with analytical methods for simple arms.</t>
  </si>
  <si>
    <t xml:space="preserve">يمكن حل الكينماتيكا العكسية بالطرق التحليلية للأذرع البسيطة.</t>
  </si>
  <si>
    <t xml:space="preserve">S2-KINE-003</t>
  </si>
  <si>
    <t xml:space="preserve">Axis Acceleration</t>
  </si>
  <si>
    <t xml:space="preserve">تسارع المحور</t>
  </si>
  <si>
    <t xml:space="preserve">AK-sis ak-sel-er-AY-shun</t>
  </si>
  <si>
    <t xml:space="preserve">The maximum acceleration an axis can reach while carrying the suggested payload.</t>
  </si>
  <si>
    <t xml:space="preserve">The axis acceleration is limited when the robot carries a heavy payload.</t>
  </si>
  <si>
    <t xml:space="preserve">يُحدَّد تسارع المحور عندما يحمل الروبوت حمولة ثقيلة.</t>
  </si>
  <si>
    <t xml:space="preserve">Check the axis acceleration in the manufacturer's data sheet.</t>
  </si>
  <si>
    <t xml:space="preserve">تحقق من تسارع المحور في ورقة بيانات الشركة المصنعة.</t>
  </si>
  <si>
    <t xml:space="preserve">S2-CTRL-002</t>
  </si>
  <si>
    <t xml:space="preserve">Bandwidth (control loop)</t>
  </si>
  <si>
    <t xml:space="preserve">عرض النطاق (لحلقة التحكم)</t>
  </si>
  <si>
    <t xml:space="preserve">BAND-width</t>
  </si>
  <si>
    <t xml:space="preserve">The frequency range over which a control loop tracks its reference, usually measured where gain falls 3 dB.</t>
  </si>
  <si>
    <t xml:space="preserve">A higher bandwidth means the loop reacts faster.</t>
  </si>
  <si>
    <t xml:space="preserve">عرض النطاق الأعلى يعني أن الحلقة تستجيب أسرع.</t>
  </si>
  <si>
    <t xml:space="preserve">The velocity loop has a bandwidth of 200 Hz.</t>
  </si>
  <si>
    <t xml:space="preserve">لحلقة السرعة عرض نطاق 200 هرتز.</t>
  </si>
  <si>
    <t xml:space="preserve">S2-MATH-002</t>
  </si>
  <si>
    <t xml:space="preserve">Closed-Form</t>
  </si>
  <si>
    <t xml:space="preserve">الصيغة المغلقة</t>
  </si>
  <si>
    <t xml:space="preserve">KLOHZD-form</t>
  </si>
  <si>
    <t xml:space="preserve">A way of solving a problem with a direct formula (an exact analytical answer) instead of repeated trial-and-error steps.</t>
  </si>
  <si>
    <t xml:space="preserve">A closed-form solution is a direct formula with no repeated steps.</t>
  </si>
  <si>
    <t xml:space="preserve">الحل بالصيغة المغلقة معادلة مباشرة دون خطوات متكررة.</t>
  </si>
  <si>
    <t xml:space="preserve">The inverse kinematics of this arm has a closed-form solution.</t>
  </si>
  <si>
    <t xml:space="preserve">للكينماتيكا العكسية لهذه الذراع حل بصيغة مغلقة.</t>
  </si>
  <si>
    <t xml:space="preserve">Definition paraphrased from the listed source(s); pronunciation, Arabic, examples and level are original additions. The source text describes it differently; the definition here is corrected to the standard meaning.</t>
  </si>
  <si>
    <t xml:space="preserve">S2-MOTN-002</t>
  </si>
  <si>
    <t xml:space="preserve">Conservative Motion</t>
  </si>
  <si>
    <t xml:space="preserve">الحركة المحافظة</t>
  </si>
  <si>
    <t xml:space="preserve">kun-SUR-vuh-tiv MOH-shun</t>
  </si>
  <si>
    <t xml:space="preserve">Motion in which the end-effector and joints always follow their specific route.</t>
  </si>
  <si>
    <t xml:space="preserve">Conservative motion makes the arm follow the same route every time.</t>
  </si>
  <si>
    <t xml:space="preserve">تجعل الحركة المحافظة الذراع تتبع المسار نفسه في كل مرة.</t>
  </si>
  <si>
    <t xml:space="preserve">The program uses conservative motion near the fixture.</t>
  </si>
  <si>
    <t xml:space="preserve">يستخدم البرنامج الحركة المحافظة بالقرب من أداة التثبيت.</t>
  </si>
  <si>
    <t xml:space="preserve">S2-CTRL-006</t>
  </si>
  <si>
    <t xml:space="preserve">Controllability</t>
  </si>
  <si>
    <t xml:space="preserve">قابلية التحكم</t>
  </si>
  <si>
    <t xml:space="preserve">kun-troh-luh-BIL-ih-tee</t>
  </si>
  <si>
    <t xml:space="preserve">A system's ability to move from an initial state to a desired state along a predictable path within a set time.</t>
  </si>
  <si>
    <t xml:space="preserve">Controllability tells us if the system can be driven to a desired state.</t>
  </si>
  <si>
    <t xml:space="preserve">تخبرنا قابلية التحكم إن كان يمكن توجيه النظام إلى الحالة المطلوبة.</t>
  </si>
  <si>
    <t xml:space="preserve">Poor controllability makes the robot hard to tune.</t>
  </si>
  <si>
    <t xml:space="preserve">ضعف قابلية التحكم يجعل ضبط الروبوت صعباً.</t>
  </si>
  <si>
    <t xml:space="preserve">S2-MOTN-004</t>
  </si>
  <si>
    <t xml:space="preserve">Coordinated Straight Line Motion</t>
  </si>
  <si>
    <t xml:space="preserve">الحركة الخطية المنسقة</t>
  </si>
  <si>
    <t xml:space="preserve">koh-OR-dih-nay-tid STRAYT LYNE MOH-shun</t>
  </si>
  <si>
    <t xml:space="preserve">The tool center point follows a set path while all axes reach their endpoints at the same time for smooth movement.</t>
  </si>
  <si>
    <t xml:space="preserve">Coordinated straight line motion keeps the tool on a straight path.</t>
  </si>
  <si>
    <t xml:space="preserve">تُبقي الحركة الخطية المنسقة الأداة على مسار مستقيم.</t>
  </si>
  <si>
    <t xml:space="preserve">All axes finish at the same time in coordinated straight line motion.</t>
  </si>
  <si>
    <t xml:space="preserve">تنتهي جميع المحاور في الوقت نفسه في الحركة الخطية المنسقة.</t>
  </si>
  <si>
    <t xml:space="preserve">S2-KINE-006</t>
  </si>
  <si>
    <t xml:space="preserve">Cyclic Coordinate System</t>
  </si>
  <si>
    <t xml:space="preserve">نظام الإحداثيات الأسطوانية</t>
  </si>
  <si>
    <t xml:space="preserve">SIK-lik koh-OR-dih-nit SIS-tum</t>
  </si>
  <si>
    <t xml:space="preserve">A system locating points by angle, radial distance, and height from a reference plane, forming a cylinder.</t>
  </si>
  <si>
    <t xml:space="preserve">A cyclic coordinate system uses an angle, a distance, and a height.</t>
  </si>
  <si>
    <t xml:space="preserve">يستخدم نظام الإحداثيات الأسطوانية زاوية ومسافة وارتفاعاً.</t>
  </si>
  <si>
    <t xml:space="preserve">Cylindrical robots are described with a cyclic coordinate system.</t>
  </si>
  <si>
    <t xml:space="preserve">تُوصَف الروبوتات الأسطوانية بنظام الإحداثيات الأسطوانية.</t>
  </si>
  <si>
    <t xml:space="preserve">S2-CTRL-008</t>
  </si>
  <si>
    <t xml:space="preserve">Deadband</t>
  </si>
  <si>
    <t xml:space="preserve">المنطقة الميتة</t>
  </si>
  <si>
    <t xml:space="preserve">DED-band</t>
  </si>
  <si>
    <t xml:space="preserve">A zone around the setpoint where the controller produces no output change, which suppresses chatter from noise.</t>
  </si>
  <si>
    <t xml:space="preserve">A deadband stops the controller from reacting to tiny noise.</t>
  </si>
  <si>
    <t xml:space="preserve">يمنع النطاق الميت المتحكم من التفاعل مع ضوضاء صغيرة جداً.</t>
  </si>
  <si>
    <t xml:space="preserve">We widened the deadband to stop the valve from chattering.</t>
  </si>
  <si>
    <t xml:space="preserve">وسّعنا النطاق الميت لمنع الصمام من الاهتزاز.</t>
  </si>
  <si>
    <t xml:space="preserve">S2-MATH-004</t>
  </si>
  <si>
    <t xml:space="preserve">Direct Search</t>
  </si>
  <si>
    <t xml:space="preserve">البحث المباشر</t>
  </si>
  <si>
    <t xml:space="preserve">dih-REKT SURCH</t>
  </si>
  <si>
    <t xml:space="preserve">Using trial solutions to find a numerical answer instead of solving derivatives directly.</t>
  </si>
  <si>
    <t xml:space="preserve">Direct search tries many solutions to find the best one.</t>
  </si>
  <si>
    <t xml:space="preserve">يجرب البحث المباشر حلولاً كثيرة لإيجاد الأفضل.</t>
  </si>
  <si>
    <t xml:space="preserve">We used direct search because the derivative was hard to calculate.</t>
  </si>
  <si>
    <t xml:space="preserve">استخدمنا البحث المباشر لأن المشتقة كان حسابها صعباً.</t>
  </si>
  <si>
    <t xml:space="preserve">S2-CTRL-009</t>
  </si>
  <si>
    <t xml:space="preserve">Dynamic Model</t>
  </si>
  <si>
    <t xml:space="preserve">النموذج الديناميكي</t>
  </si>
  <si>
    <t xml:space="preserve">dy-NAM-ik MOD-ul</t>
  </si>
  <si>
    <t xml:space="preserve">A model showing the forces that cause robot movement.</t>
  </si>
  <si>
    <t xml:space="preserve">A dynamic model shows the forces that move the robot.</t>
  </si>
  <si>
    <t xml:space="preserve">يُظهر النموذج الديناميكي القوى التي تحرك الروبوت.</t>
  </si>
  <si>
    <t xml:space="preserve">We built a dynamic model to design a better controller.</t>
  </si>
  <si>
    <t xml:space="preserve">بنينا نموذجاً ديناميكياً لتصميم متحكم أفضل.</t>
  </si>
  <si>
    <t xml:space="preserve">S2-KINE-008</t>
  </si>
  <si>
    <t xml:space="preserve">End-Effector Space</t>
  </si>
  <si>
    <t xml:space="preserve">حيّز المؤثر النهائي</t>
  </si>
  <si>
    <t xml:space="preserve">END ih-FEK-ter SPAYS</t>
  </si>
  <si>
    <t xml:space="preserve">The area the end-effector can move through relative to the robot base.</t>
  </si>
  <si>
    <t xml:space="preserve">The end-effector space is the area the tool can reach.</t>
  </si>
  <si>
    <t xml:space="preserve">حيّز المؤثر النهائي هو المنطقة التي تصلها الأداة.</t>
  </si>
  <si>
    <t xml:space="preserve">The end-effector space depends on the arm length.</t>
  </si>
  <si>
    <t xml:space="preserve">يعتمد حيّز المؤثر النهائي على طول الذراع.</t>
  </si>
  <si>
    <t xml:space="preserve">S2-MATH-005</t>
  </si>
  <si>
    <t xml:space="preserve">Equality Constraint</t>
  </si>
  <si>
    <t xml:space="preserve">قيد المساواة</t>
  </si>
  <si>
    <t xml:space="preserve">ih-KWOL-ih-tee kun-STRAYNT</t>
  </si>
  <si>
    <t xml:space="preserve">A requirement that the end-effector's position, movement, or location equal a specified value.</t>
  </si>
  <si>
    <t xml:space="preserve">An equality constraint fixes the tool position to an exact value.</t>
  </si>
  <si>
    <t xml:space="preserve">يثبّت قيد المساواة موضع الأداة عند قيمة محددة.</t>
  </si>
  <si>
    <t xml:space="preserve">The software solves the motion with one equality constraint.</t>
  </si>
  <si>
    <t xml:space="preserve">يحل البرنامج الحركة بقيد مساواة واحد.</t>
  </si>
  <si>
    <t xml:space="preserve">S2-MATH-006</t>
  </si>
  <si>
    <t xml:space="preserve">Error Function</t>
  </si>
  <si>
    <t xml:space="preserve">دالة الخطأ</t>
  </si>
  <si>
    <t xml:space="preserve">ER-er FUNK-shun</t>
  </si>
  <si>
    <t xml:space="preserve">A value representing the discrepancy between actual and desired values of a dependent variable.</t>
  </si>
  <si>
    <t xml:space="preserve">The error function measures how far the result is from the goal.</t>
  </si>
  <si>
    <t xml:space="preserve">تقيس دالة الخطأ مدى ابتعاد النتيجة عن الهدف.</t>
  </si>
  <si>
    <t xml:space="preserve">The optimizer tries to minimize the error function.</t>
  </si>
  <si>
    <t xml:space="preserve">يحاول المُحسِّن تقليل دالة الخطأ.</t>
  </si>
  <si>
    <t xml:space="preserve">S2-CTRL-014</t>
  </si>
  <si>
    <t xml:space="preserve">Feedforward Control</t>
  </si>
  <si>
    <t xml:space="preserve">التحكم الأمامي</t>
  </si>
  <si>
    <t xml:space="preserve">FEED-for-werd kun-TROHL</t>
  </si>
  <si>
    <t xml:space="preserve">A method that applies a command predicted from a system model before any error appears, often combined with feedback.</t>
  </si>
  <si>
    <t xml:space="preserve">Feedforward control acts before the error appears.</t>
  </si>
  <si>
    <t xml:space="preserve">يعمل التحكم الأمامي قبل ظهور الخطأ.</t>
  </si>
  <si>
    <t xml:space="preserve">We added feedforward control to improve tracking.</t>
  </si>
  <si>
    <t xml:space="preserve">أضفنا تحكماً أمامياً لتحسين التتبع.</t>
  </si>
  <si>
    <t xml:space="preserve">S2-KINE-010</t>
  </si>
  <si>
    <t xml:space="preserve">Forward Kinematic Solution</t>
  </si>
  <si>
    <t xml:space="preserve">حل الكينماتيكا الأمامية</t>
  </si>
  <si>
    <t xml:space="preserve">FOR-werd kin-uh-MAT-ik suh-LOO-shun</t>
  </si>
  <si>
    <t xml:space="preserve">Calculating endpoint position from joint positions, which is usually easier than the inverse problem.</t>
  </si>
  <si>
    <t xml:space="preserve">The forward kinematic solution finds the endpoint from the joint angles.</t>
  </si>
  <si>
    <t xml:space="preserve">يجد حل الكينماتيكا الأمامية نقطة النهاية من زوايا المفاصل.</t>
  </si>
  <si>
    <t xml:space="preserve">Forward kinematics is easier to calculate than inverse kinematics.</t>
  </si>
  <si>
    <t xml:space="preserve">الكينماتيكا الأمامية أسهل في الحساب من الكينماتيكا العكسية.</t>
  </si>
  <si>
    <t xml:space="preserve">S2-CTRL-015</t>
  </si>
  <si>
    <t xml:space="preserve">Frequency Response</t>
  </si>
  <si>
    <t xml:space="preserve">الاستجابة الترددية</t>
  </si>
  <si>
    <t xml:space="preserve">FREE-kwun-see rih-SPONS</t>
  </si>
  <si>
    <t xml:space="preserve">How a system's output amplitude and phase vary with input frequency, often shown as a Bode plot.</t>
  </si>
  <si>
    <t xml:space="preserve">Frequency response shows how a system reacts to different frequencies.</t>
  </si>
  <si>
    <t xml:space="preserve">تُظهر الاستجابة الترددية كيف يتفاعل النظام مع ترددات مختلفة.</t>
  </si>
  <si>
    <t xml:space="preserve">A Bode plot displays the frequency response.</t>
  </si>
  <si>
    <t xml:space="preserve">يعرض مخطط بود الاستجابة الترددية.</t>
  </si>
  <si>
    <t xml:space="preserve">S2-ROBT-003</t>
  </si>
  <si>
    <t xml:space="preserve">Fully Constrained Robot</t>
  </si>
  <si>
    <t xml:space="preserve">روبوت مقيّد كلياً</t>
  </si>
  <si>
    <t xml:space="preserve">FUL-ee kun-STRAYND ROH-bot</t>
  </si>
  <si>
    <t xml:space="preserve">A robot whose number of equality constraints equals its number of independent joints.</t>
  </si>
  <si>
    <t xml:space="preserve">A fully constrained robot has as many constraints as independent joints.</t>
  </si>
  <si>
    <t xml:space="preserve">للروبوت المقيّد كلياً قيود بعدد مفاصله المستقلة.</t>
  </si>
  <si>
    <t xml:space="preserve">A fully constrained robot has no extra freedom of movement.</t>
  </si>
  <si>
    <t xml:space="preserve">لا توجد حرية حركة إضافية لدى الروبوت المقيّد كلياً.</t>
  </si>
  <si>
    <t xml:space="preserve">S2-DYNM-003</t>
  </si>
  <si>
    <t xml:space="preserve">Gravity Loading</t>
  </si>
  <si>
    <t xml:space="preserve">حِمل الجاذبية</t>
  </si>
  <si>
    <t xml:space="preserve">GRAV-ih-tee LOH-ding</t>
  </si>
  <si>
    <t xml:space="preserve">Downward force from the arm's weight and any payload, which causes position error that can be compensated for.</t>
  </si>
  <si>
    <t xml:space="preserve">Gravity loading causes a small position error in a long arm.</t>
  </si>
  <si>
    <t xml:space="preserve">يسبب حِمل الجاذبية خطأً صغيراً في الموضع لدى الذراع الطويلة.</t>
  </si>
  <si>
    <t xml:space="preserve">The controller compensates for gravity loading automatically.</t>
  </si>
  <si>
    <t xml:space="preserve">يعوّض المتحكم حِمل الجاذبية تلقائياً.</t>
  </si>
  <si>
    <t xml:space="preserve">S2-MATH-007</t>
  </si>
  <si>
    <t xml:space="preserve">Inequality Constraint</t>
  </si>
  <si>
    <t xml:space="preserve">قيد عدم المساواة</t>
  </si>
  <si>
    <t xml:space="preserve">in-ih-KWOL-ih-tee kun-STRAYNT</t>
  </si>
  <si>
    <t xml:space="preserve">A limit on a feature such as joint movement, speed, or torque.</t>
  </si>
  <si>
    <t xml:space="preserve">An inequality constraint limits joint speed or torque.</t>
  </si>
  <si>
    <t xml:space="preserve">يحدّ قيد عدم المساواة من سرعة المفصل أو عزمه.</t>
  </si>
  <si>
    <t xml:space="preserve">The planner respects every inequality constraint of the arm.</t>
  </si>
  <si>
    <t xml:space="preserve">يحترم المخطِّط كل قيود عدم المساواة للذراع.</t>
  </si>
  <si>
    <t xml:space="preserve">S2-MOTN-005</t>
  </si>
  <si>
    <t xml:space="preserve">Interpolation</t>
  </si>
  <si>
    <t xml:space="preserve">الاستيفاء</t>
  </si>
  <si>
    <t xml:space="preserve">in-tur-puh-LAY-shun</t>
  </si>
  <si>
    <t xml:space="preserve">The method for creating endpoint paths by calculating intermediate positions between programmed knot points.</t>
  </si>
  <si>
    <t xml:space="preserve">Interpolation calculates the points between two taught positions.</t>
  </si>
  <si>
    <t xml:space="preserve">يحسب الاستيفاء النقاط بين موضعين معلَّمين.</t>
  </si>
  <si>
    <t xml:space="preserve">Linear interpolation keeps the tool on a straight line.</t>
  </si>
  <si>
    <t xml:space="preserve">يُبقي الاستيفاء الخطي الأداة على خط مستقيم.</t>
  </si>
  <si>
    <t xml:space="preserve">S2-KINE-012</t>
  </si>
  <si>
    <t xml:space="preserve">Inverse Kinematics (IK)</t>
  </si>
  <si>
    <t xml:space="preserve">الكينماتيكا العكسية</t>
  </si>
  <si>
    <t xml:space="preserve">IN-vurs kin-uh-MAT-iks</t>
  </si>
  <si>
    <t xml:space="preserve">Calculating joint positions needed to reach a desired end-effector pose, which can have zero, one, or several solutions.</t>
  </si>
  <si>
    <t xml:space="preserve">Inverse kinematics finds the joint angles needed for a target pose.</t>
  </si>
  <si>
    <t xml:space="preserve">تجد الكينماتيكا العكسية زوايا المفاصل اللازمة لوضعية مستهدفة.</t>
  </si>
  <si>
    <t xml:space="preserve">Inverse kinematics can have more than one solution.</t>
  </si>
  <si>
    <t xml:space="preserve">قد يكون للكينماتيكا العكسية أكثر من حل.</t>
  </si>
  <si>
    <t xml:space="preserve">S2-MATH-010</t>
  </si>
  <si>
    <t xml:space="preserve">Jacobian</t>
  </si>
  <si>
    <t xml:space="preserve">اليعقوبي</t>
  </si>
  <si>
    <t xml:space="preserve">juh-KOH-bee-un</t>
  </si>
  <si>
    <t xml:space="preserve">The matrix of first-order partial derivatives relating joint speeds to end-effector velocity.</t>
  </si>
  <si>
    <t xml:space="preserve">The Jacobian links joint speeds to tool speed.</t>
  </si>
  <si>
    <t xml:space="preserve">يربط اليعقوبي سرعات المفاصل بسرعة الأداة.</t>
  </si>
  <si>
    <t xml:space="preserve">Engineers use the Jacobian to control velocity.</t>
  </si>
  <si>
    <t xml:space="preserve">يستخدم المهندسون اليعقوبي للتحكم في السرعة.</t>
  </si>
  <si>
    <t xml:space="preserve">S2-MATH-011</t>
  </si>
  <si>
    <t xml:space="preserve">Jacobian Matrix</t>
  </si>
  <si>
    <t xml:space="preserve">المصفوفة اليعقوبية</t>
  </si>
  <si>
    <t xml:space="preserve">juh-KOH-bee-un MAY-triks</t>
  </si>
  <si>
    <t xml:space="preserve">A matrix relating rates of change of joint values to rates of change of endpoint coordinates, used to position the robot.</t>
  </si>
  <si>
    <t xml:space="preserve">The Jacobian matrix relates joint rates to endpoint rates.</t>
  </si>
  <si>
    <t xml:space="preserve">تربط المصفوفة اليعقوبية معدلات المفاصل بمعدلات نقطة النهاية.</t>
  </si>
  <si>
    <t xml:space="preserve">A singular Jacobian matrix means the robot is at a singularity.</t>
  </si>
  <si>
    <t xml:space="preserve">المصفوفة اليعقوبية المنفردة تعني أن الروبوت عند نقطة تفرّد.</t>
  </si>
  <si>
    <t xml:space="preserve">S7-INTV-009</t>
  </si>
  <si>
    <t xml:space="preserve">S2-MOTN-006</t>
  </si>
  <si>
    <t xml:space="preserve">Jerk</t>
  </si>
  <si>
    <t xml:space="preserve">الارتجاج (معدل تغير التسارع)</t>
  </si>
  <si>
    <t xml:space="preserve">JURK</t>
  </si>
  <si>
    <t xml:space="preserve">The rate of change of acceleration; limiting it produces smoother, less shock-prone motion.</t>
  </si>
  <si>
    <t xml:space="preserve">Limiting jerk makes the motion smoother.</t>
  </si>
  <si>
    <t xml:space="preserve">تحديد الارتجاج يجعل الحركة أنعم.</t>
  </si>
  <si>
    <t xml:space="preserve">High jerk can damage fragile parts.</t>
  </si>
  <si>
    <t xml:space="preserve">قد يتلف الارتجاج العالي القطع الهشة.</t>
  </si>
  <si>
    <t xml:space="preserve">S2-KINE-013</t>
  </si>
  <si>
    <t xml:space="preserve">Joint Space</t>
  </si>
  <si>
    <t xml:space="preserve">فضاء المفاصل</t>
  </si>
  <si>
    <t xml:space="preserve">JOYNT SPAYS</t>
  </si>
  <si>
    <t xml:space="preserve">Describing robot configuration by joint values rather than end-effector coordinates.</t>
  </si>
  <si>
    <t xml:space="preserve">In joint space, the pose is described by joint values.</t>
  </si>
  <si>
    <t xml:space="preserve">في فضاء المفاصل تُوصف الوضعية بقيم المفاصل.</t>
  </si>
  <si>
    <t xml:space="preserve">Planning in joint space avoids singularities.</t>
  </si>
  <si>
    <t xml:space="preserve">يتجنب التخطيط في فضاء المفاصل نقاط التفرّد.</t>
  </si>
  <si>
    <t xml:space="preserve">S7-TRBL-012</t>
  </si>
  <si>
    <t xml:space="preserve">S2-MOTN-008</t>
  </si>
  <si>
    <t xml:space="preserve">Joint-Interpolated Motion</t>
  </si>
  <si>
    <t xml:space="preserve">حركة الاستيفاء المفصلي</t>
  </si>
  <si>
    <t xml:space="preserve">JOYNT in-TUR-puh-lay-tid MOH-shun</t>
  </si>
  <si>
    <t xml:space="preserve">Coordinating joints to arrive simultaneously, producing a predictable path and the fastest pick-and-place cycle.</t>
  </si>
  <si>
    <t xml:space="preserve">In joint-interpolated motion all joints arrive at the same time.</t>
  </si>
  <si>
    <t xml:space="preserve">في الحركة المستوفاة مفصلياً تصل جميع المفاصل في الوقت نفسه.</t>
  </si>
  <si>
    <t xml:space="preserve">Joint-interpolated motion gives the fastest pick-and-place cycle.</t>
  </si>
  <si>
    <t xml:space="preserve">تعطي الحركة المستوفاة مفصلياً أسرع دورة التقاط ووضع.</t>
  </si>
  <si>
    <t xml:space="preserve">S2-KINE-014</t>
  </si>
  <si>
    <t xml:space="preserve">Kinematic Influence Coefficients</t>
  </si>
  <si>
    <t xml:space="preserve">معاملات التأثير الكينماتيكي</t>
  </si>
  <si>
    <t xml:space="preserve">kin-uh-MAT-ik IN-floo-unts koh-ih-FISH-unts</t>
  </si>
  <si>
    <t xml:space="preserve">The effects of input joints on movement and system response, which arise from complex coupled nonlinear equations.</t>
  </si>
  <si>
    <t xml:space="preserve">Kinematic influence coefficients show how each joint affects the motion.</t>
  </si>
  <si>
    <t xml:space="preserve">توضح معاملات التأثير الكينماتيكي كيف يؤثر كل مفصل على الحركة.</t>
  </si>
  <si>
    <t xml:space="preserve">These coefficients appear in advanced robot models.</t>
  </si>
  <si>
    <t xml:space="preserve">تظهر هذه المعاملات في نماذج الروبوت المتقدمة.</t>
  </si>
  <si>
    <t xml:space="preserve">S2-MATH-012</t>
  </si>
  <si>
    <t xml:space="preserve">LaGrange Multipliers</t>
  </si>
  <si>
    <t xml:space="preserve">مضاعِفات لاغرانج</t>
  </si>
  <si>
    <t xml:space="preserve">luh-GRONJ MUL-tuh-ply-erz</t>
  </si>
  <si>
    <t xml:space="preserve">A technique that turns a constrained problem into an unconstrained one.</t>
  </si>
  <si>
    <t xml:space="preserve">Lagrange multipliers help solve problems with constraints.</t>
  </si>
  <si>
    <t xml:space="preserve">تساعد مضاعِفات لاغرانج في حل المسائل ذات القيود.</t>
  </si>
  <si>
    <t xml:space="preserve">The planner used Lagrange multipliers to optimize the path.</t>
  </si>
  <si>
    <t xml:space="preserve">استخدم المخطِّط مضاعِفات لاغرانج لتحسين المسار.</t>
  </si>
  <si>
    <t xml:space="preserve">S2-MATH-013</t>
  </si>
  <si>
    <t xml:space="preserve">Linearly Dependent</t>
  </si>
  <si>
    <t xml:space="preserve">مرتبط خطياً</t>
  </si>
  <si>
    <t xml:space="preserve">LIN-ee-er-lee dih-PEN-dunt</t>
  </si>
  <si>
    <t xml:space="preserve">Values or functions related by addition, subtraction, or scalar multiplication.</t>
  </si>
  <si>
    <t xml:space="preserve">Two vectors are linearly dependent if one is a multiple of the other.</t>
  </si>
  <si>
    <t xml:space="preserve">يكون المتجهان مرتبطين خطياً إذا كان أحدهما مضاعفاً للآخر.</t>
  </si>
  <si>
    <t xml:space="preserve">Linearly dependent columns make a matrix singular.</t>
  </si>
  <si>
    <t xml:space="preserve">الأعمدة المرتبطة خطياً تجعل المصفوفة منفردة.</t>
  </si>
  <si>
    <t xml:space="preserve">S2-DYNM-004</t>
  </si>
  <si>
    <t xml:space="preserve">Moment</t>
  </si>
  <si>
    <t xml:space="preserve">العزم</t>
  </si>
  <si>
    <t xml:space="preserve">MOH-munt</t>
  </si>
  <si>
    <t xml:space="preserve">The rotational effect of a force about a reference point, line, or plane.</t>
  </si>
  <si>
    <t xml:space="preserve">The moment of a force depends on the distance from the pivot.</t>
  </si>
  <si>
    <t xml:space="preserve">تعتمد عزم القوة على المسافة من نقطة الارتكاز.</t>
  </si>
  <si>
    <t xml:space="preserve">A long arm creates a large moment at the base.</t>
  </si>
  <si>
    <t xml:space="preserve">تُنتج الذراع الطويلة عزماً كبيراً عند القاعدة.</t>
  </si>
  <si>
    <t xml:space="preserve">S2-DYNM-005</t>
  </si>
  <si>
    <t xml:space="preserve">Natural Frequency</t>
  </si>
  <si>
    <t xml:space="preserve">التردد الطبيعي</t>
  </si>
  <si>
    <t xml:space="preserve">NACH-ur-ul FREE-kwun-see</t>
  </si>
  <si>
    <t xml:space="preserve">The frequency at which a structure oscillates freely, which control bandwidth must avoid exciting.</t>
  </si>
  <si>
    <t xml:space="preserve">The structure vibrates at its natural frequency.</t>
  </si>
  <si>
    <t xml:space="preserve">يهتز الهيكل عند تردده الطبيعي.</t>
  </si>
  <si>
    <t xml:space="preserve">Avoid exciting the natural frequency of the arm.</t>
  </si>
  <si>
    <t xml:space="preserve">تجنب إثارة التردد الطبيعي للذراع.</t>
  </si>
  <si>
    <t xml:space="preserve">S7-TRBL-002</t>
  </si>
  <si>
    <t xml:space="preserve">S2-MATH-014</t>
  </si>
  <si>
    <t xml:space="preserve">Normalize</t>
  </si>
  <si>
    <t xml:space="preserve">التطبيع</t>
  </si>
  <si>
    <t xml:space="preserve">NOR-muh-lyze</t>
  </si>
  <si>
    <t xml:space="preserve">Scaling factors to similar magnitudes.</t>
  </si>
  <si>
    <t xml:space="preserve">We normalize the values so they have similar sizes.</t>
  </si>
  <si>
    <t xml:space="preserve">نطبّع القيم لتصبح متقاربة الحجم.</t>
  </si>
  <si>
    <t xml:space="preserve">Normalize the data before sending it to the controller.</t>
  </si>
  <si>
    <t xml:space="preserve">طبّع البيانات قبل إرسالها إلى المتحكم.</t>
  </si>
  <si>
    <t xml:space="preserve">S2-MATH-015</t>
  </si>
  <si>
    <t xml:space="preserve">Numerical Methods</t>
  </si>
  <si>
    <t xml:space="preserve">الطرق العددية</t>
  </si>
  <si>
    <t xml:space="preserve">noo-MER-ih-kul METH-udz</t>
  </si>
  <si>
    <t xml:space="preserve">Analytical procedures or heuristics a computer repeatedly uses to find a solution.</t>
  </si>
  <si>
    <t xml:space="preserve">Numerical methods find solutions by repeated calculation.</t>
  </si>
  <si>
    <t xml:space="preserve">تجد الطرق العددية الحلول بالحساب المتكرر.</t>
  </si>
  <si>
    <t xml:space="preserve">The computer uses numerical methods for inverse kinematics.</t>
  </si>
  <si>
    <t xml:space="preserve">يستخدم الحاسوب الطرق العددية للكينماتيكا العكسية.</t>
  </si>
  <si>
    <t xml:space="preserve">S2-MATH-016</t>
  </si>
  <si>
    <t xml:space="preserve">Optimization</t>
  </si>
  <si>
    <t xml:space="preserve">الأمثلة / التحسين</t>
  </si>
  <si>
    <t xml:space="preserve">op-tuh-muh-ZAY-shun</t>
  </si>
  <si>
    <t xml:space="preserve">Finding the best values of variables in a function, usually the maximum or minimum.</t>
  </si>
  <si>
    <t xml:space="preserve">Optimization finds the best path with the least energy.</t>
  </si>
  <si>
    <t xml:space="preserve">تجد الأمثلة أفضل مسار بأقل طاقة.</t>
  </si>
  <si>
    <t xml:space="preserve">Path optimization reduced the cycle time by ten percent.</t>
  </si>
  <si>
    <t xml:space="preserve">خفّضت أمثلة المسار زمن الدورة عشرة بالمئة.</t>
  </si>
  <si>
    <t xml:space="preserve">S2-QUAL-002</t>
  </si>
  <si>
    <t xml:space="preserve">Performance Criteria</t>
  </si>
  <si>
    <t xml:space="preserve">معايير الأداء</t>
  </si>
  <si>
    <t xml:space="preserve">per-FOR-mans kry-TEER-ee-uh</t>
  </si>
  <si>
    <t xml:space="preserve">Evaluation of robot operations using kinematic and dynamic models.</t>
  </si>
  <si>
    <t xml:space="preserve">Speed and accuracy are the main performance criteria.</t>
  </si>
  <si>
    <t xml:space="preserve">السرعة والدقة هما معايير الأداء الرئيسية.</t>
  </si>
  <si>
    <t xml:space="preserve">We compared the robots using the same performance criteria.</t>
  </si>
  <si>
    <t xml:space="preserve">قارنّا الروبوتات باستخدام معايير الأداء نفسها.</t>
  </si>
  <si>
    <t xml:space="preserve">S2-CTRL-021</t>
  </si>
  <si>
    <t xml:space="preserve">Plant Description</t>
  </si>
  <si>
    <t xml:space="preserve">وصف المنظومة</t>
  </si>
  <si>
    <t xml:space="preserve">PLANT dih-SKRIP-shun</t>
  </si>
  <si>
    <t xml:space="preserve">Information about the robot's motion and forces.</t>
  </si>
  <si>
    <t xml:space="preserve">The plant description gives the motion and forces of the system.</t>
  </si>
  <si>
    <t xml:space="preserve">يعطي وصف المنظومة حركة النظام وقواه.</t>
  </si>
  <si>
    <t xml:space="preserve">A good plant description is needed to design the controller.</t>
  </si>
  <si>
    <t xml:space="preserve">نحتاج وصفاً جيداً للمنظومة لتصميم المتحكم.</t>
  </si>
  <si>
    <t xml:space="preserve">S2-KINE-020</t>
  </si>
  <si>
    <t xml:space="preserve">Position Level</t>
  </si>
  <si>
    <t xml:space="preserve">مستوى الموضع</t>
  </si>
  <si>
    <t xml:space="preserve">puh-ZISH-un LEV-el</t>
  </si>
  <si>
    <t xml:space="preserve">The overall change in a joint's location, linked to velocity and acceleration levels through integration.</t>
  </si>
  <si>
    <t xml:space="preserve">The position level describes the change in joint location.</t>
  </si>
  <si>
    <t xml:space="preserve">يصف مستوى الموضع تغير موضع المفصل.</t>
  </si>
  <si>
    <t xml:space="preserve">Velocity is the derivative of the position level.</t>
  </si>
  <si>
    <t xml:space="preserve">السرعة هي مشتقة مستوى الموضع.</t>
  </si>
  <si>
    <t xml:space="preserve">S2-CTRL-023</t>
  </si>
  <si>
    <t xml:space="preserve">Proportional plus Derivative Control</t>
  </si>
  <si>
    <t xml:space="preserve">التحكم التناسبي التفاضلي (PD)</t>
  </si>
  <si>
    <t xml:space="preserve">pruh-POR-shuh-nul plus dih-RIV-uh-tiv kun-TROHL</t>
  </si>
  <si>
    <t xml:space="preserve">A control strategy combining a proportional term with a term based on the rate of change of the error; also called P+D control.</t>
  </si>
  <si>
    <t xml:space="preserve">PD control reacts to the error and how fast it changes.</t>
  </si>
  <si>
    <t xml:space="preserve">يستجيب التحكم PD للخطأ ولسرعة تغيره.</t>
  </si>
  <si>
    <t xml:space="preserve">PD control reduces overshoot.</t>
  </si>
  <si>
    <t xml:space="preserve">يقلل التحكم PD التجاوز.</t>
  </si>
  <si>
    <t xml:space="preserve">S2-CTRL-024</t>
  </si>
  <si>
    <t xml:space="preserve">Proportional plus Integral Control</t>
  </si>
  <si>
    <t xml:space="preserve">التحكم التناسبي التكاملي (PI)</t>
  </si>
  <si>
    <t xml:space="preserve">pruh-POR-shuh-nul plus IN-tuh-grul kun-TROHL</t>
  </si>
  <si>
    <t xml:space="preserve">A control strategy combining a proportional term with a term based on the accumulated error; also called P+I control.</t>
  </si>
  <si>
    <t xml:space="preserve">PI control removes the steady-state error.</t>
  </si>
  <si>
    <t xml:space="preserve">يزيل التحكم PI الخطأ المستقر.</t>
  </si>
  <si>
    <t xml:space="preserve">PI control is common in speed loops.</t>
  </si>
  <si>
    <t xml:space="preserve">التحكم PI شائع في حلقات السرعة.</t>
  </si>
  <si>
    <t xml:space="preserve">S2-MATH-017</t>
  </si>
  <si>
    <t xml:space="preserve">Pseudoinverse</t>
  </si>
  <si>
    <t xml:space="preserve">المعكوس الزائف</t>
  </si>
  <si>
    <t xml:space="preserve">SOO-doh-in-vurs</t>
  </si>
  <si>
    <t xml:space="preserve">The inversion of a non-square matrix used with joint speeds to minimize vector magnitude.</t>
  </si>
  <si>
    <t xml:space="preserve">The pseudoinverse works even when the matrix is not square.</t>
  </si>
  <si>
    <t xml:space="preserve">يعمل المعكوس الزائف حتى عندما لا تكون المصفوفة مربعة.</t>
  </si>
  <si>
    <t xml:space="preserve">We use the pseudoinverse to control a redundant arm.</t>
  </si>
  <si>
    <t xml:space="preserve">نستخدم المعكوس الزائف للتحكم في ذراع فائضة.</t>
  </si>
  <si>
    <t xml:space="preserve">S2-KINE-021</t>
  </si>
  <si>
    <t xml:space="preserve">Redundancy</t>
  </si>
  <si>
    <t xml:space="preserve">الفائض / الزيادة</t>
  </si>
  <si>
    <t xml:space="preserve">rih-DUN-dun-see</t>
  </si>
  <si>
    <t xml:space="preserve">More independent variables than constraints.</t>
  </si>
  <si>
    <t xml:space="preserve">A redundant arm has extra joints, so it can avoid obstacles.</t>
  </si>
  <si>
    <t xml:space="preserve">للذراع الفائضة مفاصل إضافية فيمكنها تجنب العوائق.</t>
  </si>
  <si>
    <t xml:space="preserve">Redundancy also gives a backup if one sensor fails.</t>
  </si>
  <si>
    <t xml:space="preserve">يعطي الفائض أيضاً نسخة احتياطية إذا تعطل حساس.</t>
  </si>
  <si>
    <t xml:space="preserve">S2-KINE-022</t>
  </si>
  <si>
    <t xml:space="preserve">Resolved-Rate</t>
  </si>
  <si>
    <t xml:space="preserve">المعدل المُحلَّل</t>
  </si>
  <si>
    <t xml:space="preserve">rih-ZOLVD RAYT</t>
  </si>
  <si>
    <t xml:space="preserve">Determining joint velocity changes from restrictions on end-effector motion.</t>
  </si>
  <si>
    <t xml:space="preserve">Resolved-rate control finds joint speeds from the desired tool speed.</t>
  </si>
  <si>
    <t xml:space="preserve">يحدد التحكم بالمعدل المُحلَّل سرعات المفاصل من سرعة الأداة المطلوبة.</t>
  </si>
  <si>
    <t xml:space="preserve">The resolved-rate method needs the Jacobian matrix.</t>
  </si>
  <si>
    <t xml:space="preserve">تحتاج طريقة المعدل المُحلَّل إلى المصفوفة اليعقوبية.</t>
  </si>
  <si>
    <t xml:space="preserve">S2-KINE-023</t>
  </si>
  <si>
    <t xml:space="preserve">Robotic Self-Motion</t>
  </si>
  <si>
    <t xml:space="preserve">الحركة الذاتية للروبوت</t>
  </si>
  <si>
    <t xml:space="preserve">roh-BOT-ik self MOH-shun</t>
  </si>
  <si>
    <t xml:space="preserve">Keeping the end-effector's position while other robot parts move.</t>
  </si>
  <si>
    <t xml:space="preserve">In self-motion the joints move while the tool stays still.</t>
  </si>
  <si>
    <t xml:space="preserve">في الحركة الذاتية تتحرك المفاصل بينما تبقى الأداة ثابتة.</t>
  </si>
  <si>
    <t xml:space="preserve">A redundant arm can use self-motion to avoid an obstacle.</t>
  </si>
  <si>
    <t xml:space="preserve">تستطيع الذراع الفائضة استخدام الحركة الذاتية لتجنب عائق.</t>
  </si>
  <si>
    <t xml:space="preserve">S2-MOTN-013</t>
  </si>
  <si>
    <t xml:space="preserve">Spline</t>
  </si>
  <si>
    <t xml:space="preserve">منحنى شرائحي (سبلاين)</t>
  </si>
  <si>
    <t xml:space="preserve">SPLYN</t>
  </si>
  <si>
    <t xml:space="preserve">A smooth, continuous function that approximates a set of points, allowing motion without jerks.</t>
  </si>
  <si>
    <t xml:space="preserve">A spline makes the path smooth without jerks.</t>
  </si>
  <si>
    <t xml:space="preserve">يجعل المنحنى الشرائحي المسار سلساً دون ارتجاجات.</t>
  </si>
  <si>
    <t xml:space="preserve">We used a spline to connect the taught points.</t>
  </si>
  <si>
    <t xml:space="preserve">استخدمنا منحنى شرائحياً لربط النقاط المعلَّمة.</t>
  </si>
  <si>
    <t xml:space="preserve">S2-MOTN-014</t>
  </si>
  <si>
    <t xml:space="preserve">Spline Motion Type</t>
  </si>
  <si>
    <t xml:space="preserve">نوع الحركة الشرائحية</t>
  </si>
  <si>
    <t xml:space="preserve">SPLYN MOH-shun TYPE</t>
  </si>
  <si>
    <t xml:space="preserve">A calculated path that may be parabolic and can form free-form curves.</t>
  </si>
  <si>
    <t xml:space="preserve">Spline motion type follows a smooth free-form curve.</t>
  </si>
  <si>
    <t xml:space="preserve">يتبع نوع الحركة الشرائحية منحنى حراً سلساً.</t>
  </si>
  <si>
    <t xml:space="preserve">Spline motion is good for car painting.</t>
  </si>
  <si>
    <t xml:space="preserve">الحركة الشرائحية مناسبة لطلاء السيارات.</t>
  </si>
  <si>
    <t xml:space="preserve">S2-CTRL-028</t>
  </si>
  <si>
    <t xml:space="preserve">System Identification</t>
  </si>
  <si>
    <t xml:space="preserve">تعريف النظام (تحديد النموذج)</t>
  </si>
  <si>
    <t xml:space="preserve">SIS-tum eye-den-tih-fih-KAY-shun</t>
  </si>
  <si>
    <t xml:space="preserve">Experimentally determining a system's dynamic model from measured test responses.</t>
  </si>
  <si>
    <t xml:space="preserve">System identification builds a model from test measurements.</t>
  </si>
  <si>
    <t xml:space="preserve">يبني تعريف النظام نموذجاً من قياسات الاختبار.</t>
  </si>
  <si>
    <t xml:space="preserve">We used system identification before tuning the controller.</t>
  </si>
  <si>
    <t xml:space="preserve">استخدمنا تعريف النظام قبل ضبط المتحكم.</t>
  </si>
  <si>
    <t xml:space="preserve">S2-KINE-027</t>
  </si>
  <si>
    <t xml:space="preserve">Tool Frame</t>
  </si>
  <si>
    <t xml:space="preserve">إطار الأداة</t>
  </si>
  <si>
    <t xml:space="preserve">TOOL FRAYM</t>
  </si>
  <si>
    <t xml:space="preserve">A coordinate system attached to the end-effector, measured relative to the base frame.</t>
  </si>
  <si>
    <t xml:space="preserve">The tool frame is attached to the end-effector.</t>
  </si>
  <si>
    <t xml:space="preserve">إطار الأداة مثبت على المؤثر النهائي.</t>
  </si>
  <si>
    <t xml:space="preserve">We calibrated the tool frame after replacing the gripper.</t>
  </si>
  <si>
    <t xml:space="preserve">عايرنا إطار الأداة بعد استبدال القابض.</t>
  </si>
  <si>
    <t xml:space="preserve">S2-MOTN-015</t>
  </si>
  <si>
    <t xml:space="preserve">Trajectory Generation (Calculation)</t>
  </si>
  <si>
    <t xml:space="preserve">توليد المسار</t>
  </si>
  <si>
    <t xml:space="preserve">truh-JEK-tuh-ree jen-er-AY-shun</t>
  </si>
  <si>
    <t xml:space="preserve">Computing motion functions that move joints smoothly and in a controlled fashion.</t>
  </si>
  <si>
    <t xml:space="preserve">Trajectory generation calculates smooth joint motion.</t>
  </si>
  <si>
    <t xml:space="preserve">يحسب توليد المسار حركة سلسة للمفاصل.</t>
  </si>
  <si>
    <t xml:space="preserve">The controller does trajectory generation in real time.</t>
  </si>
  <si>
    <t xml:space="preserve">ينفذ المتحكم توليد المسار في الزمن الحقيقي.</t>
  </si>
  <si>
    <t xml:space="preserve">S2-MATH-020</t>
  </si>
  <si>
    <t xml:space="preserve">Two-Norm</t>
  </si>
  <si>
    <t xml:space="preserve">المعيار الثاني</t>
  </si>
  <si>
    <t xml:space="preserve">TOO-norm</t>
  </si>
  <si>
    <t xml:space="preserve">The length of a vector, found by taking the square root of the sum of its squared components.</t>
  </si>
  <si>
    <t xml:space="preserve">The two-norm gives the length of a vector.</t>
  </si>
  <si>
    <t xml:space="preserve">يعطي المعيار الثاني طول المتجه.</t>
  </si>
  <si>
    <t xml:space="preserve">We minimize the two-norm of the joint speeds.</t>
  </si>
  <si>
    <t xml:space="preserve">نقلّل المعيار الثاني لسرعات المفاصل.</t>
  </si>
  <si>
    <t xml:space="preserve">S2-CTRL-029</t>
  </si>
  <si>
    <t xml:space="preserve">Underdamped Response</t>
  </si>
  <si>
    <t xml:space="preserve">استجابة ناقصة التخميد</t>
  </si>
  <si>
    <t xml:space="preserve">UN-der-dampt rih-SPONS</t>
  </si>
  <si>
    <t xml:space="preserve">A step response that overshoots and oscillates before settling, with a damping ratio below 1.</t>
  </si>
  <si>
    <t xml:space="preserve">An underdamped response oscillates before settling.</t>
  </si>
  <si>
    <t xml:space="preserve">تتذبذب الاستجابة ناقصة التخميد قبل أن تستقر.</t>
  </si>
  <si>
    <t xml:space="preserve">Add damping to remove the underdamped response.</t>
  </si>
  <si>
    <t xml:space="preserve">أضف تخميداً لإزالة الاستجابة ناقصة التخميد.</t>
  </si>
  <si>
    <t xml:space="preserve">S2-KINE-028</t>
  </si>
  <si>
    <t xml:space="preserve">Velocity Level</t>
  </si>
  <si>
    <t xml:space="preserve">مستوى السرعة</t>
  </si>
  <si>
    <t xml:space="preserve">vuh-LOS-ih-tee LEV-el</t>
  </si>
  <si>
    <t xml:space="preserve">The measure of how joint position changes over time.</t>
  </si>
  <si>
    <t xml:space="preserve">The velocity level describes how fast the joint position changes.</t>
  </si>
  <si>
    <t xml:space="preserve">يصف مستوى السرعة مدى سرعة تغير موضع المفصل.</t>
  </si>
  <si>
    <t xml:space="preserve">Acceleration is the derivative of the velocity level.</t>
  </si>
  <si>
    <t xml:space="preserve">التسارع هو مشتقة مستوى السرعة.</t>
  </si>
  <si>
    <t xml:space="preserve">S3-ACTU-001</t>
  </si>
  <si>
    <t xml:space="preserve">Actuator</t>
  </si>
  <si>
    <t xml:space="preserve">مشغّل / مُحرِّك</t>
  </si>
  <si>
    <t xml:space="preserve">AK-choo-ay-ter</t>
  </si>
  <si>
    <t xml:space="preserve">Actuators</t>
  </si>
  <si>
    <t xml:space="preserve">A device that turns an electrical, hydraulic, or pneumatic input into physical motion or force.</t>
  </si>
  <si>
    <t xml:space="preserve">The actuator moves the robot arm when it receives a signal.</t>
  </si>
  <si>
    <t xml:space="preserve">يحرّك المشغّل ذراع الروبوت عندما يستقبل إشارة.</t>
  </si>
  <si>
    <t xml:space="preserve">A pneumatic actuator opens and closes the gripper.</t>
  </si>
  <si>
    <t xml:space="preserve">يفتح المشغّل الهوائي القابض ويغلقه.</t>
  </si>
  <si>
    <t xml:space="preserve">3 – Motors &amp; Sensors | المحركات والحساسات</t>
  </si>
  <si>
    <t xml:space="preserve">S3-ELEC-001</t>
  </si>
  <si>
    <t xml:space="preserve">Capacitor</t>
  </si>
  <si>
    <t xml:space="preserve">مكثّف</t>
  </si>
  <si>
    <t xml:space="preserve">kuh-PAS-ih-ter</t>
  </si>
  <si>
    <t xml:space="preserve">An electronic component that stores energy in an electric field, with its voltage rising as current flows in.</t>
  </si>
  <si>
    <t xml:space="preserve">A capacitor stores electrical energy for a short time.</t>
  </si>
  <si>
    <t xml:space="preserve">يخزّن المكثّف الطاقة الكهربائية لفترة قصيرة.</t>
  </si>
  <si>
    <t xml:space="preserve">We added a capacitor to smooth the power supply.</t>
  </si>
  <si>
    <t xml:space="preserve">أضفنا مكثّفاً لتنعيم مصدر الطاقة.</t>
  </si>
  <si>
    <t xml:space="preserve">S3-TOOL-001</t>
  </si>
  <si>
    <t xml:space="preserve">Clamp</t>
  </si>
  <si>
    <t xml:space="preserve">ملقط / مشبك</t>
  </si>
  <si>
    <t xml:space="preserve">KLAMP</t>
  </si>
  <si>
    <t xml:space="preserve">A pneumatic end-effector that grips and releases objects, using sensors to control applied force.</t>
  </si>
  <si>
    <t xml:space="preserve">The clamp holds the part while the robot works.</t>
  </si>
  <si>
    <t xml:space="preserve">يُمسك المشبك القطعة بينما يعمل الروبوت.</t>
  </si>
  <si>
    <t xml:space="preserve">A pneumatic clamp releases the part when air is cut.</t>
  </si>
  <si>
    <t xml:space="preserve">يحرر المشبك الهوائي القطعة عند قطع الهواء.</t>
  </si>
  <si>
    <t xml:space="preserve">S3-SENS-003</t>
  </si>
  <si>
    <t xml:space="preserve">Contact Sensor</t>
  </si>
  <si>
    <t xml:space="preserve">حساس تلامس</t>
  </si>
  <si>
    <t xml:space="preserve">KON-takt SEN-ser</t>
  </si>
  <si>
    <t xml:space="preserve">A device that detects contact or measures applied force or torque to find a workpiece's location, identity, or orientation.</t>
  </si>
  <si>
    <t xml:space="preserve">A contact sensor tells the robot when it touches the part.</t>
  </si>
  <si>
    <t xml:space="preserve">يخبر حساس التلامس الروبوت عندما يلمس القطعة.</t>
  </si>
  <si>
    <t xml:space="preserve">The contact sensor found the exact position of the workpiece.</t>
  </si>
  <si>
    <t xml:space="preserve">حدد حساس التلامس الموضع الدقيق لقطعة العمل.</t>
  </si>
  <si>
    <t xml:space="preserve">S3-SENS-005</t>
  </si>
  <si>
    <t xml:space="preserve">Encoder</t>
  </si>
  <si>
    <t xml:space="preserve">مُرمِّز (إنكودر)</t>
  </si>
  <si>
    <t xml:space="preserve">en-KOH-der</t>
  </si>
  <si>
    <t xml:space="preserve">A sensor that converts position into an electrical signal, with resolution limiting servo precision.</t>
  </si>
  <si>
    <t xml:space="preserve">The encoder tells the controller the position of the motor shaft.</t>
  </si>
  <si>
    <t xml:space="preserve">يخبر المُرمِّز المتحكم بموضع عمود المحرك.</t>
  </si>
  <si>
    <t xml:space="preserve">If the encoder fails, the robot loses its position feedback.</t>
  </si>
  <si>
    <t xml:space="preserve">إذا تعطل المُرمِّز يفقد الروبوت تغذية الموضع الراجعة.</t>
  </si>
  <si>
    <t xml:space="preserve">S7-INTV-006; S7-INTV-007; S7-TRBL-001; S7-TRBL-008</t>
  </si>
  <si>
    <t xml:space="preserve">S3-MECH-007</t>
  </si>
  <si>
    <t xml:space="preserve">Gear Ratio</t>
  </si>
  <si>
    <t xml:space="preserve">نسبة التروس</t>
  </si>
  <si>
    <t xml:space="preserve">GEER RAY-shoh</t>
  </si>
  <si>
    <t xml:space="preserve">The input-to-output speed relationship of a gear train, which scales torque inversely.</t>
  </si>
  <si>
    <t xml:space="preserve">A gear ratio of 10:1 reduces speed and increases torque.</t>
  </si>
  <si>
    <t xml:space="preserve">نسبة تروس 10:1 تخفض السرعة وتزيد العزم.</t>
  </si>
  <si>
    <t xml:space="preserve">Choose a gear ratio that matches the load.</t>
  </si>
  <si>
    <t xml:space="preserve">اختر نسبة تروس تناسب الحِمل.</t>
  </si>
  <si>
    <t xml:space="preserve">S7-INTV-005</t>
  </si>
  <si>
    <t xml:space="preserve">S3-SENS-012</t>
  </si>
  <si>
    <t xml:space="preserve">Infrared sensor</t>
  </si>
  <si>
    <t xml:space="preserve">حساس الأشعة تحت الحمراء</t>
  </si>
  <si>
    <t xml:space="preserve">in-fruh-RED SEN-ser</t>
  </si>
  <si>
    <t xml:space="preserve">A sensor, often passive, that detects infrared radiation given off by objects in view.</t>
  </si>
  <si>
    <t xml:space="preserve">An infrared sensor detects heat or reflected infrared light.</t>
  </si>
  <si>
    <t xml:space="preserve">يكشف حساس الأشعة تحت الحمراء الحرارة أو الضوء تحت الأحمر المنعكس.</t>
  </si>
  <si>
    <t xml:space="preserve">The robot follows a line with infrared sensors.</t>
  </si>
  <si>
    <t xml:space="preserve">يتبع الروبوت خطاً بحساسات الأشعة تحت الحمراء.</t>
  </si>
  <si>
    <t xml:space="preserve">S3-SENS-014</t>
  </si>
  <si>
    <t xml:space="preserve">Laser</t>
  </si>
  <si>
    <t xml:space="preserve">الليزر</t>
  </si>
  <si>
    <t xml:space="preserve">LAY-zer</t>
  </si>
  <si>
    <t xml:space="preserve">A narrow, focused coherent light beam used as a non-contact sensor for distance, mapping, scanning, cutting, and welding.</t>
  </si>
  <si>
    <t xml:space="preserve">A laser sensor measures distance very accurately.</t>
  </si>
  <si>
    <t xml:space="preserve">يقيس حساس الليزر المسافة بدقة عالية جداً.</t>
  </si>
  <si>
    <t xml:space="preserve">The robot uses a laser to cut metal sheets.</t>
  </si>
  <si>
    <t xml:space="preserve">يستخدم الروبوت الليزر لقص الصفائح المعدنية.</t>
  </si>
  <si>
    <t xml:space="preserve">S3-SENS-015</t>
  </si>
  <si>
    <t xml:space="preserve">Light Dependent Resistor (LDR)</t>
  </si>
  <si>
    <t xml:space="preserve">مقاومة ضوئية</t>
  </si>
  <si>
    <t xml:space="preserve">LYTE dih-PEN-dunt rih-ZIS-ter</t>
  </si>
  <si>
    <t xml:space="preserve">A resistor whose resistance falls as more light hits it.</t>
  </si>
  <si>
    <t xml:space="preserve">An LDR has lower resistance in bright light.</t>
  </si>
  <si>
    <t xml:space="preserve">مقاومة LDR أقل في الضوء الساطع.</t>
  </si>
  <si>
    <t xml:space="preserve">We use an LDR to detect day and night.</t>
  </si>
  <si>
    <t xml:space="preserve">نستخدم LDR لكشف النهار والليل.</t>
  </si>
  <si>
    <t xml:space="preserve">S3-SENS-016</t>
  </si>
  <si>
    <t xml:space="preserve">Limit Switch</t>
  </si>
  <si>
    <t xml:space="preserve">مفتاح حدّي</t>
  </si>
  <si>
    <t xml:space="preserve">LIM-it SWICH</t>
  </si>
  <si>
    <t xml:space="preserve">A switch that signals when a moving part reaches the end of its travel, used for homing and overtravel protection.</t>
  </si>
  <si>
    <t xml:space="preserve">A limit switch tells the controller that the axis reached its end.</t>
  </si>
  <si>
    <t xml:space="preserve">يخبر المفتاح الحدّي المتحكم بأن المحور وصل إلى نهايته.</t>
  </si>
  <si>
    <t xml:space="preserve">If the limit switch fails, the axis may crash.</t>
  </si>
  <si>
    <t xml:space="preserve">إذا تعطل المفتاح الحدّي فقد يصطدم المحور.</t>
  </si>
  <si>
    <t xml:space="preserve">S7-INTV-017; S7-TRBL-010</t>
  </si>
  <si>
    <t xml:space="preserve">S3-ACTU-007</t>
  </si>
  <si>
    <t xml:space="preserve">Linear Actuator</t>
  </si>
  <si>
    <t xml:space="preserve">مشغّل خطي</t>
  </si>
  <si>
    <t xml:space="preserve">LIN-ee-er AK-choo-ay-ter</t>
  </si>
  <si>
    <t xml:space="preserve">An actuator that produces straight-line motion through a screw, cylinder, or linear motor.</t>
  </si>
  <si>
    <t xml:space="preserve">A linear actuator pushes and pulls in a straight line.</t>
  </si>
  <si>
    <t xml:space="preserve">يدفع المشغّل الخطي ويسحب في خط مستقيم.</t>
  </si>
  <si>
    <t xml:space="preserve">The linear actuator raises the platform.</t>
  </si>
  <si>
    <t xml:space="preserve">يرفع المشغّل الخطي المنصة.</t>
  </si>
  <si>
    <t xml:space="preserve">S3-ACTU-008</t>
  </si>
  <si>
    <t xml:space="preserve">Motor</t>
  </si>
  <si>
    <t xml:space="preserve">محرك</t>
  </si>
  <si>
    <t xml:space="preserve">MOH-ter</t>
  </si>
  <si>
    <t xml:space="preserve">Cross-reference: see Servo Motor.</t>
  </si>
  <si>
    <t xml:space="preserve">The motor turns the wheel of the robot.</t>
  </si>
  <si>
    <t xml:space="preserve">يدير المحرك عجلة الروبوت.</t>
  </si>
  <si>
    <t xml:space="preserve">This motor needs a 24-volt power supply.</t>
  </si>
  <si>
    <t xml:space="preserve">يحتاج هذا المحرك إلى مصدر طاقة 24 فولت.</t>
  </si>
  <si>
    <t xml:space="preserve">S3-ELEC-003</t>
  </si>
  <si>
    <t xml:space="preserve">Motor Driver</t>
  </si>
  <si>
    <t xml:space="preserve">مُشغِّل المحرك (درايفر)</t>
  </si>
  <si>
    <t xml:space="preserve">MOH-ter DRY-ver</t>
  </si>
  <si>
    <t xml:space="preserve">Power electronics, such as an H-bridge or inverter, that converts low-power control signals into motor drive waveforms.</t>
  </si>
  <si>
    <t xml:space="preserve">The motor driver gives the motor enough current.</t>
  </si>
  <si>
    <t xml:space="preserve">يعطي مُشغِّل المحرك المحرك تياراً كافياً.</t>
  </si>
  <si>
    <t xml:space="preserve">The motor driver overheated and shut down.</t>
  </si>
  <si>
    <t xml:space="preserve">سخن مُشغِّل المحرك بشكل زائد وانطفأ.</t>
  </si>
  <si>
    <t xml:space="preserve">S7-INTV-011; S7-TRBL-003</t>
  </si>
  <si>
    <t xml:space="preserve">S3-SENS-026</t>
  </si>
  <si>
    <t xml:space="preserve">Proximity Sensor</t>
  </si>
  <si>
    <t xml:space="preserve">حساس القرب</t>
  </si>
  <si>
    <t xml:space="preserve">prok-SIM-ih-tee SEN-ser</t>
  </si>
  <si>
    <t xml:space="preserve">A non-contact device that senses nearby objects and measures their distance.</t>
  </si>
  <si>
    <t xml:space="preserve">A proximity sensor detects objects without touching them.</t>
  </si>
  <si>
    <t xml:space="preserve">يكشف حساس القرب الأجسام دون لمسها.</t>
  </si>
  <si>
    <t xml:space="preserve">The proximity sensor stops the conveyor when a box arrives.</t>
  </si>
  <si>
    <t xml:space="preserve">يوقف حساس القرب السير الناقل عند وصول صندوق.</t>
  </si>
  <si>
    <t xml:space="preserve">S3-ELEC-005</t>
  </si>
  <si>
    <t xml:space="preserve">Resistor</t>
  </si>
  <si>
    <t xml:space="preserve">مقاومة</t>
  </si>
  <si>
    <t xml:space="preserve">rih-ZIS-ter</t>
  </si>
  <si>
    <t xml:space="preserve">An electronic component that limits current, with voltage equal to current times resistance.</t>
  </si>
  <si>
    <t xml:space="preserve">A resistor limits the current in a circuit.</t>
  </si>
  <si>
    <t xml:space="preserve">تحدّ المقاومة من التيار في الدارة.</t>
  </si>
  <si>
    <t xml:space="preserve">We added a resistor in series with the LED.</t>
  </si>
  <si>
    <t xml:space="preserve">أضفنا مقاومة على التوالي مع الصمام الثنائي الباعث للضوء.</t>
  </si>
  <si>
    <t xml:space="preserve">S3-ACTU-011</t>
  </si>
  <si>
    <t xml:space="preserve">Servo Motor</t>
  </si>
  <si>
    <t xml:space="preserve">محرك مؤازر (سيرفو)</t>
  </si>
  <si>
    <t xml:space="preserve">SUR-voh MOH-ter</t>
  </si>
  <si>
    <t xml:space="preserve">A motor with feedback and closed-loop control that precisely regulates position, speed, or torque.</t>
  </si>
  <si>
    <t xml:space="preserve">A servo motor can hold an exact position.</t>
  </si>
  <si>
    <t xml:space="preserve">يستطيع المحرك المؤازر الإبقاء على موضع دقيق.</t>
  </si>
  <si>
    <t xml:space="preserve">The servo motor has an encoder for feedback.</t>
  </si>
  <si>
    <t xml:space="preserve">للمحرك المؤازر مُرمِّز للتغذية الراجعة.</t>
  </si>
  <si>
    <t xml:space="preserve">S7-INTV-006</t>
  </si>
  <si>
    <t xml:space="preserve">S3-ACTU-014</t>
  </si>
  <si>
    <t xml:space="preserve">Stepper Motor</t>
  </si>
  <si>
    <t xml:space="preserve">محرك خطوي</t>
  </si>
  <si>
    <t xml:space="preserve">STEP-er MOH-ter</t>
  </si>
  <si>
    <t xml:space="preserve">A motor that moves in fixed angular steps from pulses, enabling open-loop positioning within its torque limits.</t>
  </si>
  <si>
    <t xml:space="preserve">A stepper motor moves in small fixed steps.</t>
  </si>
  <si>
    <t xml:space="preserve">يتحرك المحرك الخطوي بخطوات ثابتة صغيرة.</t>
  </si>
  <si>
    <t xml:space="preserve">3D printers use stepper motors for accurate positioning.</t>
  </si>
  <si>
    <t xml:space="preserve">تستخدم الطابعات ثلاثية الأبعاد محركات خطوية للتموضع الدقيق.</t>
  </si>
  <si>
    <t xml:space="preserve">S7-INTV-006; S7-TRBL-004</t>
  </si>
  <si>
    <t xml:space="preserve">S3-SENS-031</t>
  </si>
  <si>
    <t xml:space="preserve">Touch Sensor</t>
  </si>
  <si>
    <t xml:space="preserve">حساس اللمس</t>
  </si>
  <si>
    <t xml:space="preserve">TUCH SEN-ser</t>
  </si>
  <si>
    <t xml:space="preserve">A sensing device that detects physical contact with an object.</t>
  </si>
  <si>
    <t xml:space="preserve">A touch sensor detects contact with an object.</t>
  </si>
  <si>
    <t xml:space="preserve">يكشف حساس اللمس التلامس مع جسم.</t>
  </si>
  <si>
    <t xml:space="preserve">The robot stopped when its touch sensor was pressed.</t>
  </si>
  <si>
    <t xml:space="preserve">توقف الروبوت عند الضغط على حساس اللمس.</t>
  </si>
  <si>
    <t xml:space="preserve">S3-SENS-033</t>
  </si>
  <si>
    <t xml:space="preserve">Ultrasonic sensor</t>
  </si>
  <si>
    <t xml:space="preserve">حساس فوق صوتي</t>
  </si>
  <si>
    <t xml:space="preserve">ul-truh-SON-ik SEN-ser</t>
  </si>
  <si>
    <t xml:space="preserve">A sensor that emits ultrasound and detects the echoes that return.</t>
  </si>
  <si>
    <t xml:space="preserve">An ultrasonic sensor measures distance using echoes.</t>
  </si>
  <si>
    <t xml:space="preserve">يقيس الحساس فوق الصوتي المسافة باستخدام الصدى.</t>
  </si>
  <si>
    <t xml:space="preserve">The robot stops when the ultrasonic sensor detects a wall.</t>
  </si>
  <si>
    <t xml:space="preserve">يتوقف الروبوت عندما يكشف الحساس فوق الصوتي جداراً.</t>
  </si>
  <si>
    <t xml:space="preserve">S7-INTV-015</t>
  </si>
  <si>
    <t xml:space="preserve">S3-SENS-035</t>
  </si>
  <si>
    <t xml:space="preserve">Vision Sensor</t>
  </si>
  <si>
    <t xml:space="preserve">حساس الرؤية</t>
  </si>
  <si>
    <t xml:space="preserve">VIZH-un SEN-ser</t>
  </si>
  <si>
    <t xml:space="preserve">A sensor that identifies an object's shape, location, orientation, or dimensions through visual feedback.</t>
  </si>
  <si>
    <t xml:space="preserve">A vision sensor checks the shape and position of a part.</t>
  </si>
  <si>
    <t xml:space="preserve">يفحص حساس الرؤية شكل القطعة وموضعها.</t>
  </si>
  <si>
    <t xml:space="preserve">The vision sensor rejected a damaged bottle.</t>
  </si>
  <si>
    <t xml:space="preserve">رفض حساس الرؤية زجاجة تالفة.</t>
  </si>
  <si>
    <t xml:space="preserve">S3-SENS-001</t>
  </si>
  <si>
    <t xml:space="preserve">Accelerometer</t>
  </si>
  <si>
    <t xml:space="preserve">مقياس التسارع</t>
  </si>
  <si>
    <t xml:space="preserve">ak-sel-er-OM-ih-ter</t>
  </si>
  <si>
    <t xml:space="preserve">A device that measures acceleration or force, which are linked by Newton's second law.</t>
  </si>
  <si>
    <t xml:space="preserve">An accelerometer measures how fast the speed is changing.</t>
  </si>
  <si>
    <t xml:space="preserve">يقيس مقياس التسارع مدى سرعة تغير السرعة.</t>
  </si>
  <si>
    <t xml:space="preserve">The phone uses an accelerometer to detect rotation.</t>
  </si>
  <si>
    <t xml:space="preserve">يستخدم الهاتف مقياس تسارع لكشف الدوران.</t>
  </si>
  <si>
    <t xml:space="preserve">S3-SENS-002</t>
  </si>
  <si>
    <t xml:space="preserve">Active sensor</t>
  </si>
  <si>
    <t xml:space="preserve">حساس نشط</t>
  </si>
  <si>
    <t xml:space="preserve">AK-tiv SEN-ser</t>
  </si>
  <si>
    <t xml:space="preserve">A sensor that sends out a signal and then measures the response that comes back.</t>
  </si>
  <si>
    <t xml:space="preserve">An active sensor sends a signal and waits for the echo.</t>
  </si>
  <si>
    <t xml:space="preserve">يرسل الحساس النشط إشارة وينتظر الصدى.</t>
  </si>
  <si>
    <t xml:space="preserve">Ultrasonic sensors are active sensors.</t>
  </si>
  <si>
    <t xml:space="preserve">الحساسات فوق الصوتية حساسات نشطة.</t>
  </si>
  <si>
    <t xml:space="preserve">S3-MECH-001</t>
  </si>
  <si>
    <t xml:space="preserve">Ball Screw</t>
  </si>
  <si>
    <t xml:space="preserve">برغي كروي</t>
  </si>
  <si>
    <t xml:space="preserve">BAWL SKROO</t>
  </si>
  <si>
    <t xml:space="preserve">A linear drive that uses recirculating balls in a helical groove for low friction and high precision.</t>
  </si>
  <si>
    <t xml:space="preserve">A ball screw changes rotary motion into precise linear motion.</t>
  </si>
  <si>
    <t xml:space="preserve">يحوّل البرغي الكروي الحركة الدورانية إلى حركة خطية دقيقة.</t>
  </si>
  <si>
    <t xml:space="preserve">The ball screw on the Z axis needs regular lubrication.</t>
  </si>
  <si>
    <t xml:space="preserve">يحتاج البرغي الكروي على المحور Z إلى تشحيم منتظم.</t>
  </si>
  <si>
    <t xml:space="preserve">S3-ACTU-002</t>
  </si>
  <si>
    <t xml:space="preserve">Brushless DC Motor (BLDC)</t>
  </si>
  <si>
    <t xml:space="preserve">محرك تيار مستمر بدون فرش</t>
  </si>
  <si>
    <t xml:space="preserve">BRUSH-lis dee-SEE MOH-ter</t>
  </si>
  <si>
    <t xml:space="preserve">A motor that switches its windings electronically rather than with brushes, improving efficiency and life at the cost of more complex drive electronics.</t>
  </si>
  <si>
    <t xml:space="preserve">A BLDC motor lasts longer because it has no brushes.</t>
  </si>
  <si>
    <t xml:space="preserve">يدوم محرك BLDC أطول لأنه بلا فرش.</t>
  </si>
  <si>
    <t xml:space="preserve">The drone uses four BLDC motors.</t>
  </si>
  <si>
    <t xml:space="preserve">تستخدم الطائرة المسيّرة أربعة محركات BLDC.</t>
  </si>
  <si>
    <t xml:space="preserve">S3-MECH-002</t>
  </si>
  <si>
    <t xml:space="preserve">Cam</t>
  </si>
  <si>
    <t xml:space="preserve">كامة</t>
  </si>
  <si>
    <t xml:space="preserve">KAM</t>
  </si>
  <si>
    <t xml:space="preserve">An off-center rotating part whose profile pushes other parts to move in and out.</t>
  </si>
  <si>
    <t xml:space="preserve">A cam turns and pushes a follower to create back-and-forth motion.</t>
  </si>
  <si>
    <t xml:space="preserve">تدور الكامة وتدفع التابع لتنتج حركة ذهاباً وإياباً.</t>
  </si>
  <si>
    <t xml:space="preserve">The cam opens and closes the valve at the right time.</t>
  </si>
  <si>
    <t xml:space="preserve">تفتح الكامة الصمام وتغلقه في الوقت المناسب.</t>
  </si>
  <si>
    <t xml:space="preserve">S3-MECH-006</t>
  </si>
  <si>
    <t xml:space="preserve">Drive</t>
  </si>
  <si>
    <t xml:space="preserve">وحدة الإدارة / مخفض السرعة</t>
  </si>
  <si>
    <t xml:space="preserve">DRYV</t>
  </si>
  <si>
    <t xml:space="preserve">A speed reducer that converts high-speed, low-torque input into low-speed, high-torque output.</t>
  </si>
  <si>
    <t xml:space="preserve">The drive reduces speed and increases torque.</t>
  </si>
  <si>
    <t xml:space="preserve">يخفض المخفض السرعة ويزيد العزم.</t>
  </si>
  <si>
    <t xml:space="preserve">A worn drive makes noise and loses accuracy.</t>
  </si>
  <si>
    <t xml:space="preserve">المخفض البالي يُصدر ضجيجاً ويفقد الدقة.</t>
  </si>
  <si>
    <t xml:space="preserve">S7-TRBL-011; S7-TRBL-015</t>
  </si>
  <si>
    <t xml:space="preserve">S3-ACTU-004</t>
  </si>
  <si>
    <t xml:space="preserve">Drive Power</t>
  </si>
  <si>
    <t xml:space="preserve">قدرة الدفع</t>
  </si>
  <si>
    <t xml:space="preserve">DRYV POW-er</t>
  </si>
  <si>
    <t xml:space="preserve">The energy source that actuators convert into usable robot movement.</t>
  </si>
  <si>
    <t xml:space="preserve">The drive power can be electric, hydraulic, or pneumatic.</t>
  </si>
  <si>
    <t xml:space="preserve">يمكن أن تكون قدرة الدفع كهربائية أو هيدروليكية أو هوائية.</t>
  </si>
  <si>
    <t xml:space="preserve">Drive power is converted into motion by the actuators.</t>
  </si>
  <si>
    <t xml:space="preserve">تُحوَّل قدرة الدفع إلى حركة بواسطة المشغّلات.</t>
  </si>
  <si>
    <t xml:space="preserve">S3-ELEC-002</t>
  </si>
  <si>
    <t xml:space="preserve">Duty Cycle</t>
  </si>
  <si>
    <t xml:space="preserve">دورة التشغيل</t>
  </si>
  <si>
    <t xml:space="preserve">DOO-tee SY-kul</t>
  </si>
  <si>
    <t xml:space="preserve">The fraction of time a device is energized, which determines how much rest a motor needs; IEC 60034-1 covers duty ratings.</t>
  </si>
  <si>
    <t xml:space="preserve">A 50 percent duty cycle means the signal is on half the time.</t>
  </si>
  <si>
    <t xml:space="preserve">دورة تشغيل 50 بالمئة تعني أن الإشارة تعمل نصف الوقت.</t>
  </si>
  <si>
    <t xml:space="preserve">The motor has a low duty cycle to avoid overheating.</t>
  </si>
  <si>
    <t xml:space="preserve">لدى المحرك دورة تشغيل منخفضة لتجنب ارتفاع الحرارة.</t>
  </si>
  <si>
    <t xml:space="preserve">S3-SENS-004</t>
  </si>
  <si>
    <t xml:space="preserve">Echo location</t>
  </si>
  <si>
    <t xml:space="preserve">تحديد الموقع بالصدى</t>
  </si>
  <si>
    <t xml:space="preserve">EK-oh loh-KAY-shun</t>
  </si>
  <si>
    <t xml:space="preserve">Finding an object's position by sending out a signal and timing how long its echo takes to return.</t>
  </si>
  <si>
    <t xml:space="preserve">Echo location finds an object by timing the returning sound.</t>
  </si>
  <si>
    <t xml:space="preserve">يجد تحديد الموقع بالصدى جسماً بقياس زمن عودة الصوت.</t>
  </si>
  <si>
    <t xml:space="preserve">Bats use echo location to fly in the dark.</t>
  </si>
  <si>
    <t xml:space="preserve">تستخدم الخفافيش تحديد الموقع بالصدى للطيران في الظلام.</t>
  </si>
  <si>
    <t xml:space="preserve">S3-SENS-007</t>
  </si>
  <si>
    <t xml:space="preserve">Feedback Sensor</t>
  </si>
  <si>
    <t xml:space="preserve">حساس التغذية الراجعة</t>
  </si>
  <si>
    <t xml:space="preserve">FEED-bak SEN-ser</t>
  </si>
  <si>
    <t xml:space="preserve">A mechanism that sends sensed information to the control unit to guide subsequent motion.</t>
  </si>
  <si>
    <t xml:space="preserve">A feedback sensor reports the joint position to the controller.</t>
  </si>
  <si>
    <t xml:space="preserve">يُبلغ حساس التغذية الراجعة المتحكم بموضع المفصل.</t>
  </si>
  <si>
    <t xml:space="preserve">The feedback sensor must be calibrated regularly.</t>
  </si>
  <si>
    <t xml:space="preserve">يجب معايرة حساس التغذية الراجعة بانتظام.</t>
  </si>
  <si>
    <t xml:space="preserve">S3-CTRL-002</t>
  </si>
  <si>
    <t xml:space="preserve">Force Feedback</t>
  </si>
  <si>
    <t xml:space="preserve">التغذية الراجعة للقوة</t>
  </si>
  <si>
    <t xml:space="preserve">FORS FEED-bak</t>
  </si>
  <si>
    <t xml:space="preserve">Using force sensor signals to control an end-effector during its task.</t>
  </si>
  <si>
    <t xml:space="preserve">Force feedback lets the robot feel how hard it is pressing.</t>
  </si>
  <si>
    <t xml:space="preserve">تتيح التغذية الراجعة للقوة للروبوت أن يشعر بمدى قوة الضغط.</t>
  </si>
  <si>
    <t xml:space="preserve">We used force feedback to insert the part gently.</t>
  </si>
  <si>
    <t xml:space="preserve">استخدمنا التغذية الراجعة للقوة لإدخال القطعة بلطف.</t>
  </si>
  <si>
    <t xml:space="preserve">S3-SENS-008</t>
  </si>
  <si>
    <t xml:space="preserve">Force Sensor</t>
  </si>
  <si>
    <t xml:space="preserve">حساس القوة</t>
  </si>
  <si>
    <t xml:space="preserve">FORS SEN-ser</t>
  </si>
  <si>
    <t xml:space="preserve">A sensor that measures forces and torques at the robot and wrist, usually using strain gauges.</t>
  </si>
  <si>
    <t xml:space="preserve">The force sensor measures the force at the robot wrist.</t>
  </si>
  <si>
    <t xml:space="preserve">يقيس حساس القوة القوة عند معصم الروبوت.</t>
  </si>
  <si>
    <t xml:space="preserve">A force sensor protects the part from too much pressure.</t>
  </si>
  <si>
    <t xml:space="preserve">يحمي حساس القوة القطعة من الضغط الزائد.</t>
  </si>
  <si>
    <t xml:space="preserve">S3-SENS-009</t>
  </si>
  <si>
    <t xml:space="preserve">Force/Torque Sensor</t>
  </si>
  <si>
    <t xml:space="preserve">حساس القوة/العزم</t>
  </si>
  <si>
    <t xml:space="preserve">FORS TORK SEN-ser</t>
  </si>
  <si>
    <t xml:space="preserve">A sensor that measures forces and moments in several axes, often at a robot wrist.</t>
  </si>
  <si>
    <t xml:space="preserve">The force/torque sensor measures forces in several directions.</t>
  </si>
  <si>
    <t xml:space="preserve">يقيس حساس القوة/العزم القوى في عدة اتجاهات.</t>
  </si>
  <si>
    <t xml:space="preserve">It is mounted between the wrist and the gripper.</t>
  </si>
  <si>
    <t xml:space="preserve">مثبّت بين المعصم والقابض.</t>
  </si>
  <si>
    <t xml:space="preserve">S3-SENS-010</t>
  </si>
  <si>
    <t xml:space="preserve">Hall Effect Sensor</t>
  </si>
  <si>
    <t xml:space="preserve">حساس تأثير هول</t>
  </si>
  <si>
    <t xml:space="preserve">HAWL ih-FEKT SEN-ser</t>
  </si>
  <si>
    <t xml:space="preserve">A contactless sensor that detects magnetic fields, commonly used for motor commutation and proximity sensing.</t>
  </si>
  <si>
    <t xml:space="preserve">A Hall effect sensor detects the position of a magnet.</t>
  </si>
  <si>
    <t xml:space="preserve">يكشف حساس تأثير هول موضع المغناطيس.</t>
  </si>
  <si>
    <t xml:space="preserve">The BLDC motor uses Hall effect sensors to time its commutation.</t>
  </si>
  <si>
    <t xml:space="preserve">يستخدم محرك BLDC حساسات تأثير هول لتوقيت التبديل.</t>
  </si>
  <si>
    <t xml:space="preserve">S3-HMIF-001</t>
  </si>
  <si>
    <t xml:space="preserve">Haptic Feedback</t>
  </si>
  <si>
    <t xml:space="preserve">التغذية الراجعة اللمسية</t>
  </si>
  <si>
    <t xml:space="preserve">HAP-tik FEED-bak</t>
  </si>
  <si>
    <t xml:space="preserve">Human-Machine Interface</t>
  </si>
  <si>
    <t xml:space="preserve">Using force or vibration to convey information to a user through touch.</t>
  </si>
  <si>
    <t xml:space="preserve">Haptic feedback makes the joystick vibrate when the robot touches something.</t>
  </si>
  <si>
    <t xml:space="preserve">تجعل التغذية الراجعة اللمسية عصا التحكم تهتز عندما يلمس الروبوت شيئاً.</t>
  </si>
  <si>
    <t xml:space="preserve">Surgeons feel haptic feedback through the controller.</t>
  </si>
  <si>
    <t xml:space="preserve">يشعر الجراحون بالتغذية الراجعة اللمسية عبر وحدة التحكم.</t>
  </si>
  <si>
    <t xml:space="preserve">S3-HMIF-002</t>
  </si>
  <si>
    <t xml:space="preserve">Haptics</t>
  </si>
  <si>
    <t xml:space="preserve">اللمسيات</t>
  </si>
  <si>
    <t xml:space="preserve">HAP-tiks</t>
  </si>
  <si>
    <t xml:space="preserve">Interaction that involves the sense of touch.</t>
  </si>
  <si>
    <t xml:space="preserve">Haptics adds the sense of touch to a machine.</t>
  </si>
  <si>
    <t xml:space="preserve">تضيف اللمسيات حاسة اللمس إلى الآلة.</t>
  </si>
  <si>
    <t xml:space="preserve">Haptics is important in robotic surgery.</t>
  </si>
  <si>
    <t xml:space="preserve">اللمسيات مهمة في الجراحة الروبوتية.</t>
  </si>
  <si>
    <t xml:space="preserve">S3-ACTU-005</t>
  </si>
  <si>
    <t xml:space="preserve">Holding Torque</t>
  </si>
  <si>
    <t xml:space="preserve">عزم التثبيت</t>
  </si>
  <si>
    <t xml:space="preserve">HOHL-ding TORK</t>
  </si>
  <si>
    <t xml:space="preserve">The torque a stationary, energized stepper motor can resist before losing position; different from running torque.</t>
  </si>
  <si>
    <t xml:space="preserve">The holding torque keeps the stepper motor in position when it stops.</t>
  </si>
  <si>
    <t xml:space="preserve">يُبقي عزم التثبيت المحرك الخطوي في موضعه عند التوقف.</t>
  </si>
  <si>
    <t xml:space="preserve">Choose a motor with enough holding torque for the load.</t>
  </si>
  <si>
    <t xml:space="preserve">اختر محركاً بعزم تثبيت كافٍ للحِمل.</t>
  </si>
  <si>
    <t xml:space="preserve">S3-ACTU-006</t>
  </si>
  <si>
    <t xml:space="preserve">Hydraulics</t>
  </si>
  <si>
    <t xml:space="preserve">الهيدروليك</t>
  </si>
  <si>
    <t xml:space="preserve">hy-DRAW-liks</t>
  </si>
  <si>
    <t xml:space="preserve">The study of how liquids move and are used to apply force.</t>
  </si>
  <si>
    <t xml:space="preserve">Hydraulics uses liquid pressure to create strong force.</t>
  </si>
  <si>
    <t xml:space="preserve">تستخدم الهيدروليك ضغط السائل لإنتاج قوة كبيرة.</t>
  </si>
  <si>
    <t xml:space="preserve">Large robots in heavy industry use hydraulics.</t>
  </si>
  <si>
    <t xml:space="preserve">تستخدم الروبوتات الكبيرة في الصناعة الثقيلة الهيدروليك.</t>
  </si>
  <si>
    <t xml:space="preserve">S3-SENS-011</t>
  </si>
  <si>
    <t xml:space="preserve">Inductive Sensors</t>
  </si>
  <si>
    <t xml:space="preserve">الحساسات الحثية</t>
  </si>
  <si>
    <t xml:space="preserve">in-DUK-tiv SEN-serz</t>
  </si>
  <si>
    <t xml:space="preserve">Proximity sensors that detect metal when it absorbs enough energy from their field to stop an oscillator.</t>
  </si>
  <si>
    <t xml:space="preserve">Inductive sensors detect metal objects without touching them.</t>
  </si>
  <si>
    <t xml:space="preserve">تكشف الحساسات الحثية الأجسام المعدنية دون لمسها.</t>
  </si>
  <si>
    <t xml:space="preserve">We use an inductive sensor to detect the metal can.</t>
  </si>
  <si>
    <t xml:space="preserve">نستخدم حساساً حثياً لكشف العلبة المعدنية.</t>
  </si>
  <si>
    <t xml:space="preserve">S3-DYNM-001</t>
  </si>
  <si>
    <t xml:space="preserve">Inertia</t>
  </si>
  <si>
    <t xml:space="preserve">القصور الذاتي</t>
  </si>
  <si>
    <t xml:space="preserve">in-UR-shuh</t>
  </si>
  <si>
    <t xml:space="preserve">A body's resistance to changes in motion; matching load and rotor inertia aids stable servo control.</t>
  </si>
  <si>
    <t xml:space="preserve">A heavy load has high inertia and is hard to accelerate.</t>
  </si>
  <si>
    <t xml:space="preserve">للحِمل الثقيل قصور ذاتي عالٍ ويصعب تسريعه.</t>
  </si>
  <si>
    <t xml:space="preserve">Match the load inertia to the motor inertia.</t>
  </si>
  <si>
    <t xml:space="preserve">طابق قصور الحِمل الذاتي مع قصور المحرك.</t>
  </si>
  <si>
    <t xml:space="preserve">S3-SENS-013</t>
  </si>
  <si>
    <t xml:space="preserve">Internal Sensor</t>
  </si>
  <si>
    <t xml:space="preserve">حساس داخلي</t>
  </si>
  <si>
    <t xml:space="preserve">in-TUR-nul SEN-ser</t>
  </si>
  <si>
    <t xml:space="preserve">A sensor inside the arm that sends motion information to a control unit.</t>
  </si>
  <si>
    <t xml:space="preserve">An internal sensor inside the arm measures joint angles.</t>
  </si>
  <si>
    <t xml:space="preserve">يقيس الحساس الداخلي في الذراع زوايا المفاصل.</t>
  </si>
  <si>
    <t xml:space="preserve">The internal sensor sends motion data to the control unit.</t>
  </si>
  <si>
    <t xml:space="preserve">يرسل الحساس الداخلي بيانات الحركة إلى وحدة التحكم.</t>
  </si>
  <si>
    <t xml:space="preserve">S3-SENS-017</t>
  </si>
  <si>
    <t xml:space="preserve">Load Cell</t>
  </si>
  <si>
    <t xml:space="preserve">خلية حِمل</t>
  </si>
  <si>
    <t xml:space="preserve">LOHD SEL</t>
  </si>
  <si>
    <t xml:space="preserve">A transducer, usually strain-gauge based, that converts applied force into a proportional electrical signal.</t>
  </si>
  <si>
    <t xml:space="preserve">A load cell measures the weight of the object.</t>
  </si>
  <si>
    <t xml:space="preserve">تقيس خلية الحِمل وزن الجسم.</t>
  </si>
  <si>
    <t xml:space="preserve">The robot checks the part weight with a load cell.</t>
  </si>
  <si>
    <t xml:space="preserve">يتحقق الروبوت من وزن القطعة بخلية حِمل.</t>
  </si>
  <si>
    <t xml:space="preserve">S3-SENS-018</t>
  </si>
  <si>
    <t xml:space="preserve">Magnetic Detectors</t>
  </si>
  <si>
    <t xml:space="preserve">الكواشف المغناطيسية</t>
  </si>
  <si>
    <t xml:space="preserve">mag-NET-ik dih-TEK-terz</t>
  </si>
  <si>
    <t xml:space="preserve">Robot sensors that detect ferromagnetic material with high precision.</t>
  </si>
  <si>
    <t xml:space="preserve">Magnetic detectors sense ferromagnetic metal accurately.</t>
  </si>
  <si>
    <t xml:space="preserve">تكشف الكواشف المغناطيسية المعادن الحديدية بدقة.</t>
  </si>
  <si>
    <t xml:space="preserve">The robot uses magnetic detectors to find steel parts.</t>
  </si>
  <si>
    <t xml:space="preserve">يستخدم الروبوت كواشف مغناطيسية لإيجاد القطع الفولاذية.</t>
  </si>
  <si>
    <t xml:space="preserve">S3-SENS-020</t>
  </si>
  <si>
    <t xml:space="preserve">Optical Encoder</t>
  </si>
  <si>
    <t xml:space="preserve">مُرمِّز ضوئي</t>
  </si>
  <si>
    <t xml:space="preserve">OP-tih-kul en-KOH-der</t>
  </si>
  <si>
    <t xml:space="preserve">An encoder that reads light patterns on a disk or scale, offering high resolution but needing protection from contamination.</t>
  </si>
  <si>
    <t xml:space="preserve">An optical encoder counts light pulses to measure rotation.</t>
  </si>
  <si>
    <t xml:space="preserve">يعدّ المُرمِّز الضوئي النبضات الضوئية لقياس الدوران.</t>
  </si>
  <si>
    <t xml:space="preserve">Dust can damage an optical encoder.</t>
  </si>
  <si>
    <t xml:space="preserve">قد يتلف الغبار المُرمِّز الضوئي.</t>
  </si>
  <si>
    <t xml:space="preserve">S7-INTV-007</t>
  </si>
  <si>
    <t xml:space="preserve">S3-SENS-021</t>
  </si>
  <si>
    <t xml:space="preserve">Optical Proximity Sensors</t>
  </si>
  <si>
    <t xml:space="preserve">حساسات القرب الضوئية</t>
  </si>
  <si>
    <t xml:space="preserve">OP-tih-kul prok-SIM-ih-tee SEN-serz</t>
  </si>
  <si>
    <t xml:space="preserve">Sensors that measure reflected light to determine distance, with lasers used for higher accuracy.</t>
  </si>
  <si>
    <t xml:space="preserve">Optical proximity sensors detect objects using reflected light.</t>
  </si>
  <si>
    <t xml:space="preserve">تكشف حساسات القرب الضوئية الأجسام بالضوء المنعكس.</t>
  </si>
  <si>
    <t xml:space="preserve">The robot stops when the optical proximity sensor sees a person.</t>
  </si>
  <si>
    <t xml:space="preserve">يتوقف الروبوت عندما يرى حساس القرب الضوئي شخصاً.</t>
  </si>
  <si>
    <t xml:space="preserve">S3-SENS-022</t>
  </si>
  <si>
    <t xml:space="preserve">Passive sensor</t>
  </si>
  <si>
    <t xml:space="preserve">حساس سلبي</t>
  </si>
  <si>
    <t xml:space="preserve">PAS-iv SEN-ser</t>
  </si>
  <si>
    <t xml:space="preserve">A sensor that only listens for information without sending out a signal.</t>
  </si>
  <si>
    <t xml:space="preserve">A passive sensor only listens and sends no signal.</t>
  </si>
  <si>
    <t xml:space="preserve">يستمع الحساس السلبي فقط ولا يرسل إشارة.</t>
  </si>
  <si>
    <t xml:space="preserve">A camera is a passive sensor.</t>
  </si>
  <si>
    <t xml:space="preserve">الكاميرا حساس سلبي.</t>
  </si>
  <si>
    <t xml:space="preserve">S3-SENS-023</t>
  </si>
  <si>
    <t xml:space="preserve">Photoelectric sensor</t>
  </si>
  <si>
    <t xml:space="preserve">حساس كهروضوئي</t>
  </si>
  <si>
    <t xml:space="preserve">foh-toh-ih-LEK-trik SEN-ser</t>
  </si>
  <si>
    <t xml:space="preserve">A sensor that uses light, often infrared, to detect an object or its distance.</t>
  </si>
  <si>
    <t xml:space="preserve">A photoelectric sensor uses light to detect objects.</t>
  </si>
  <si>
    <t xml:space="preserve">يستخدم الحساس الكهروضوئي الضوء لكشف الأجسام.</t>
  </si>
  <si>
    <t xml:space="preserve">The photoelectric sensor counts bottles on the line.</t>
  </si>
  <si>
    <t xml:space="preserve">يعدّ الحساس الكهروضوئي الزجاجات على الخط.</t>
  </si>
  <si>
    <t xml:space="preserve">S3-SENS-024</t>
  </si>
  <si>
    <t xml:space="preserve">Phototransistor</t>
  </si>
  <si>
    <t xml:space="preserve">ترانزستور ضوئي</t>
  </si>
  <si>
    <t xml:space="preserve">foh-toh-tran-ZIS-ter</t>
  </si>
  <si>
    <t xml:space="preserve">A transistor that lets more current flow as more light falls on it, used to detect light.</t>
  </si>
  <si>
    <t xml:space="preserve">A phototransistor passes more current when light hits it.</t>
  </si>
  <si>
    <t xml:space="preserve">يمرّر الترانزستور الضوئي تياراً أكبر عندما يسقط عليه الضوء.</t>
  </si>
  <si>
    <t xml:space="preserve">It is often used in optical encoders.</t>
  </si>
  <si>
    <t xml:space="preserve">يُستخدم غالباً في المُرمِّزات الضوئية.</t>
  </si>
  <si>
    <t xml:space="preserve">Definition paraphrased from the listed source(s); pronunciation, Arabic, examples and level are original additions. The source text equates it with an LDR; the definition here is corrected.</t>
  </si>
  <si>
    <t xml:space="preserve">S3-ACTU-010</t>
  </si>
  <si>
    <t xml:space="preserve">Pneumatics</t>
  </si>
  <si>
    <t xml:space="preserve">الهوائيات (النيوماتيك)</t>
  </si>
  <si>
    <t xml:space="preserve">noo-MAT-iks</t>
  </si>
  <si>
    <t xml:space="preserve">The study of how gases behave and are used to apply force.</t>
  </si>
  <si>
    <t xml:space="preserve">Pneumatics uses compressed air to move parts.</t>
  </si>
  <si>
    <t xml:space="preserve">تستخدم الهوائيات الهواء المضغوط لتحريك الأجزاء.</t>
  </si>
  <si>
    <t xml:space="preserve">The gripper is operated by pneumatics.</t>
  </si>
  <si>
    <t xml:space="preserve">يُشغَّل القابض بالهوائيات.</t>
  </si>
  <si>
    <t xml:space="preserve">S3-SENS-028</t>
  </si>
  <si>
    <t xml:space="preserve">Resolution</t>
  </si>
  <si>
    <t xml:space="preserve">الدقة التمييزية</t>
  </si>
  <si>
    <t xml:space="preserve">rez-uh-LOO-shun</t>
  </si>
  <si>
    <t xml:space="preserve">The amount of joint motion needed to change the position sensor reading by one count.</t>
  </si>
  <si>
    <t xml:space="preserve">A higher resolution encoder detects smaller movements.</t>
  </si>
  <si>
    <t xml:space="preserve">يكشف المُرمِّز عالي الدقة التمييزية حركات أصغر.</t>
  </si>
  <si>
    <t xml:space="preserve">The resolution of the sensor is 0.01 degrees.</t>
  </si>
  <si>
    <t xml:space="preserve">الدقة التمييزية للحساس 0.01 درجة.</t>
  </si>
  <si>
    <t xml:space="preserve">S3-CTRL-003</t>
  </si>
  <si>
    <t xml:space="preserve">Sensory Feedback</t>
  </si>
  <si>
    <t xml:space="preserve">التغذية الراجعة الحسية</t>
  </si>
  <si>
    <t xml:space="preserve">SEN-suh-ree FEED-bak</t>
  </si>
  <si>
    <t xml:space="preserve">Sensor data relayed to the controller in a closed loop, where out-of-range values trigger error corrections.</t>
  </si>
  <si>
    <t xml:space="preserve">Sensory feedback helps the controller correct its movement.</t>
  </si>
  <si>
    <t xml:space="preserve">تساعد التغذية الراجعة الحسية المتحكم في تصحيح حركته.</t>
  </si>
  <si>
    <t xml:space="preserve">Without sensory feedback the robot would drift.</t>
  </si>
  <si>
    <t xml:space="preserve">بدون تغذية راجعة حسية سينحرف الروبوت.</t>
  </si>
  <si>
    <t xml:space="preserve">S3-ACTU-013</t>
  </si>
  <si>
    <t xml:space="preserve">Solenoid</t>
  </si>
  <si>
    <t xml:space="preserve">ملف لولبي (سولينويد)</t>
  </si>
  <si>
    <t xml:space="preserve">SOH-luh-noyd</t>
  </si>
  <si>
    <t xml:space="preserve">A coil with a movable iron core that shifts when current flows through it.</t>
  </si>
  <si>
    <t xml:space="preserve">A solenoid pushes a small rod when current flows.</t>
  </si>
  <si>
    <t xml:space="preserve">يدفع الملف اللولبي قضيباً صغيراً عند مرور التيار.</t>
  </si>
  <si>
    <t xml:space="preserve">The solenoid opens the air valve.</t>
  </si>
  <si>
    <t xml:space="preserve">يفتح الملف اللولبي صمام الهواء.</t>
  </si>
  <si>
    <t xml:space="preserve">S3-SENS-030</t>
  </si>
  <si>
    <t xml:space="preserve">Through-Beam</t>
  </si>
  <si>
    <t xml:space="preserve">الشعاع العابر</t>
  </si>
  <si>
    <t xml:space="preserve">THROO-beem</t>
  </si>
  <si>
    <t xml:space="preserve">A detection system where a light beam is broken when an object passes between an emitter and a detector.</t>
  </si>
  <si>
    <t xml:space="preserve">A through-beam sensor detects an object that blocks the light.</t>
  </si>
  <si>
    <t xml:space="preserve">يكشف حساس الشعاع العابر الجسم الذي يقطع الضوء.</t>
  </si>
  <si>
    <t xml:space="preserve">The through-beam sensor counts boxes on the conveyor.</t>
  </si>
  <si>
    <t xml:space="preserve">يعدّ حساس الشعاع العابر الصناديق على السير الناقل.</t>
  </si>
  <si>
    <t xml:space="preserve">S3-SENS-032</t>
  </si>
  <si>
    <t xml:space="preserve">Transducer</t>
  </si>
  <si>
    <t xml:space="preserve">محوِّل طاقة / مُحوِّل إشارة</t>
  </si>
  <si>
    <t xml:space="preserve">trans-DOO-ser</t>
  </si>
  <si>
    <t xml:space="preserve">A device that converts one form of energy or quantity into another, often an electrical signal.</t>
  </si>
  <si>
    <t xml:space="preserve">A transducer converts one form of energy into another.</t>
  </si>
  <si>
    <t xml:space="preserve">يحوّل محوِّل الطاقة شكلاً من الطاقة إلى آخر.</t>
  </si>
  <si>
    <t xml:space="preserve">A pressure transducer outputs an electrical signal.</t>
  </si>
  <si>
    <t xml:space="preserve">يُخرج محوِّل الضغط إشارة كهربائية.</t>
  </si>
  <si>
    <t xml:space="preserve">S3-SENS-034</t>
  </si>
  <si>
    <t xml:space="preserve">Ultrasound</t>
  </si>
  <si>
    <t xml:space="preserve">الموجات فوق الصوتية</t>
  </si>
  <si>
    <t xml:space="preserve">UL-truh-sound</t>
  </si>
  <si>
    <t xml:space="preserve">Sound at frequencies above human hearing.</t>
  </si>
  <si>
    <t xml:space="preserve">Ultrasound is sound above the range of human hearing.</t>
  </si>
  <si>
    <t xml:space="preserve">الموجات فوق الصوتية صوت فوق نطاق سمع الإنسان.</t>
  </si>
  <si>
    <t xml:space="preserve">Ultrasound is used to measure distance.</t>
  </si>
  <si>
    <t xml:space="preserve">تُستخدم الموجات فوق الصوتية لقياس المسافة.</t>
  </si>
  <si>
    <t xml:space="preserve">S3-MOBL-001</t>
  </si>
  <si>
    <t xml:space="preserve">Ackermann Steering</t>
  </si>
  <si>
    <t xml:space="preserve">توجيه أكرمان</t>
  </si>
  <si>
    <t xml:space="preserve">AK-er-mun STEER-ing</t>
  </si>
  <si>
    <t xml:space="preserve">Mobile Robots</t>
  </si>
  <si>
    <t xml:space="preserve">A steering layout where the front wheels turn at different angles so all wheels follow circles around one center.</t>
  </si>
  <si>
    <t xml:space="preserve">Ackermann steering lets a car turn without the wheels slipping.</t>
  </si>
  <si>
    <t xml:space="preserve">يتيح توجيه أكرمان للسيارة الانعطاف دون انزلاق العجلات.</t>
  </si>
  <si>
    <t xml:space="preserve">The mobile robot uses Ackermann steering like a car.</t>
  </si>
  <si>
    <t xml:space="preserve">يستخدم الروبوت المتنقل توجيه أكرمان مثل السيارة.</t>
  </si>
  <si>
    <t xml:space="preserve">S3-ACTU-003</t>
  </si>
  <si>
    <t xml:space="preserve">Cogging Torque</t>
  </si>
  <si>
    <t xml:space="preserve">عزم التسنّن</t>
  </si>
  <si>
    <t xml:space="preserve">KOG-ing TORK</t>
  </si>
  <si>
    <t xml:space="preserve">Torque ripple felt on an unpowered permanent-magnet motor, caused by magnet-to-stator attraction.</t>
  </si>
  <si>
    <t xml:space="preserve">Cogging torque makes a motor feel notchy when turned by hand.</t>
  </si>
  <si>
    <t xml:space="preserve">يجعل عزم التسنّن المحرك يبدو متقطعاً عند تدويره باليد.</t>
  </si>
  <si>
    <t xml:space="preserve">Skewed magnets reduce cogging torque.</t>
  </si>
  <si>
    <t xml:space="preserve">تقلل المغانط المائلة عزم التسنّن.</t>
  </si>
  <si>
    <t xml:space="preserve">S3-CTRL-001</t>
  </si>
  <si>
    <t xml:space="preserve">Current Loop</t>
  </si>
  <si>
    <t xml:space="preserve">حلقة التيار</t>
  </si>
  <si>
    <t xml:space="preserve">KUR-unt LOOP</t>
  </si>
  <si>
    <t xml:space="preserve">The fastest inner control loop that regulates motor current and therefore torque.</t>
  </si>
  <si>
    <t xml:space="preserve">The current loop controls the motor torque.</t>
  </si>
  <si>
    <t xml:space="preserve">تتحكم حلقة التيار في عزم المحرك.</t>
  </si>
  <si>
    <t xml:space="preserve">The current loop is the fastest loop in a servo drive.</t>
  </si>
  <si>
    <t xml:space="preserve">حلقة التيار هي أسرع حلقة في مشغّل السيرفو.</t>
  </si>
  <si>
    <t xml:space="preserve">S3-MECH-003</t>
  </si>
  <si>
    <t xml:space="preserve">Cyclo Drive</t>
  </si>
  <si>
    <t xml:space="preserve">مخفض سرعة سايكلو</t>
  </si>
  <si>
    <t xml:space="preserve">SY-kloh DRYV</t>
  </si>
  <si>
    <t xml:space="preserve">A brand of speed reducer that converts high-speed, low-torque input into low-speed, high-torque output, usually on major axes.</t>
  </si>
  <si>
    <t xml:space="preserve">A Cyclo drive reduces speed and increases torque on a major axis.</t>
  </si>
  <si>
    <t xml:space="preserve">يخفض مخفض سايكلو السرعة ويزيد العزم على المحور الرئيسي.</t>
  </si>
  <si>
    <t xml:space="preserve">The Cyclo drive on axis one was replaced during maintenance.</t>
  </si>
  <si>
    <t xml:space="preserve">استُبدل مخفض سايكلو على المحور الأول أثناء الصيانة.</t>
  </si>
  <si>
    <t xml:space="preserve">S3-MECH-004</t>
  </si>
  <si>
    <t xml:space="preserve">Datum</t>
  </si>
  <si>
    <t xml:space="preserve">المرجع (الداتوم)</t>
  </si>
  <si>
    <t xml:space="preserve">DAY-tum</t>
  </si>
  <si>
    <t xml:space="preserve">A reference point, axis, or plane from which positions and tolerances are measured.</t>
  </si>
  <si>
    <t xml:space="preserve">All dimensions are measured from the datum.</t>
  </si>
  <si>
    <t xml:space="preserve">تُقاس جميع الأبعاد من المرجع.</t>
  </si>
  <si>
    <t xml:space="preserve">Set the datum on the machined surface.</t>
  </si>
  <si>
    <t xml:space="preserve">ضع المرجع على السطح المشغَّل.</t>
  </si>
  <si>
    <t xml:space="preserve">S3-MECH-005</t>
  </si>
  <si>
    <t xml:space="preserve">Direct-Drive</t>
  </si>
  <si>
    <t xml:space="preserve">الدفع المباشر</t>
  </si>
  <si>
    <t xml:space="preserve">dih-REKT DRYV</t>
  </si>
  <si>
    <t xml:space="preserve">Joint actuation with no transmission elements, where the link bolts directly onto the motor output.</t>
  </si>
  <si>
    <t xml:space="preserve">A direct-drive joint has no gearbox between the motor and the link.</t>
  </si>
  <si>
    <t xml:space="preserve">مفصل الدفع المباشر لا يحتوي علبة تروس بين المحرك والوصلة.</t>
  </si>
  <si>
    <t xml:space="preserve">Direct-drive motors avoid backlash.</t>
  </si>
  <si>
    <t xml:space="preserve">محركات الدفع المباشر تتجنب الخلوص.</t>
  </si>
  <si>
    <t xml:space="preserve">S3-SENS-006</t>
  </si>
  <si>
    <t xml:space="preserve">Encoder, Absolute</t>
  </si>
  <si>
    <t xml:space="preserve">مُرمِّز مطلق</t>
  </si>
  <si>
    <t xml:space="preserve">AB-suh-loot en-KOH-der</t>
  </si>
  <si>
    <t xml:space="preserve">An encoder that reports a unique position code, so position is known at power-up without homing.</t>
  </si>
  <si>
    <t xml:space="preserve">An absolute encoder knows its position when the power is turned on.</t>
  </si>
  <si>
    <t xml:space="preserve">يعرف المُرمِّز المطلق موضعه عند تشغيل الطاقة.</t>
  </si>
  <si>
    <t xml:space="preserve">With an absolute encoder, homing is not needed.</t>
  </si>
  <si>
    <t xml:space="preserve">مع المُرمِّز المطلق لا حاجة إلى التصفير.</t>
  </si>
  <si>
    <t xml:space="preserve">S3-MECH-008</t>
  </si>
  <si>
    <t xml:space="preserve">Harmonic Drive</t>
  </si>
  <si>
    <t xml:space="preserve">المُخفِّض التوافقي</t>
  </si>
  <si>
    <t xml:space="preserve">har-MON-ik DRYV</t>
  </si>
  <si>
    <t xml:space="preserve">A compact, lightweight speed reducer that converts high speed and low torque into low speed and high torque, usually on minor axes.</t>
  </si>
  <si>
    <t xml:space="preserve">A harmonic drive is small, light, and has almost no backlash.</t>
  </si>
  <si>
    <t xml:space="preserve">المخفض التوافقي صغير وخفيف وبلا خلوص تقريباً.</t>
  </si>
  <si>
    <t xml:space="preserve">Harmonic drives are used on the wrist joints.</t>
  </si>
  <si>
    <t xml:space="preserve">تُستخدم المخفضات التوافقية في مفاصل المعصم.</t>
  </si>
  <si>
    <t xml:space="preserve">S3-SENS-019</t>
  </si>
  <si>
    <t xml:space="preserve">Magnetometer</t>
  </si>
  <si>
    <t xml:space="preserve">مقياس المغناطيسية</t>
  </si>
  <si>
    <t xml:space="preserve">mag-nuh-TOM-ih-ter</t>
  </si>
  <si>
    <t xml:space="preserve">A device that detects magnetic fields.</t>
  </si>
  <si>
    <t xml:space="preserve">A magnetometer detects magnetic fields.</t>
  </si>
  <si>
    <t xml:space="preserve">يكشف مقياس المغناطيسية المجالات المغناطيسية.</t>
  </si>
  <si>
    <t xml:space="preserve">The drone uses a magnetometer as a compass.</t>
  </si>
  <si>
    <t xml:space="preserve">تستخدم الطائرة المسيّرة مقياس المغناطيسية كبوصلة.</t>
  </si>
  <si>
    <t xml:space="preserve">S3-SPEC-001</t>
  </si>
  <si>
    <t xml:space="preserve">NEMA Frame Size</t>
  </si>
  <si>
    <t xml:space="preserve">مقاس إطار NEMA</t>
  </si>
  <si>
    <t xml:space="preserve">NEE-muh FRAYM SYZE</t>
  </si>
  <si>
    <t xml:space="preserve">A standard mounting-face dimension for motors, allowing interchangeable mounting across manufacturers.</t>
  </si>
  <si>
    <t xml:space="preserve">NEMA 23 is a common stepper motor frame size.</t>
  </si>
  <si>
    <t xml:space="preserve">NEMA 23 مقاس إطار شائع للمحركات الخطوية.</t>
  </si>
  <si>
    <t xml:space="preserve">Both motors share the same NEMA frame size, so they can swap.</t>
  </si>
  <si>
    <t xml:space="preserve">يشترك المحركان في مقاس إطار NEMA نفسه فيمكن تبديلهما.</t>
  </si>
  <si>
    <t xml:space="preserve">S3-ACTU-009</t>
  </si>
  <si>
    <t xml:space="preserve">Piezoelectric Actuator</t>
  </si>
  <si>
    <t xml:space="preserve">مشغّل كهروضغطي</t>
  </si>
  <si>
    <t xml:space="preserve">pee-AY-zoh-ih-LEK-trik AK-choo-ay-ter</t>
  </si>
  <si>
    <t xml:space="preserve">An actuator that changes shape under voltage, giving very fine resolution but short travel.</t>
  </si>
  <si>
    <t xml:space="preserve">A piezoelectric actuator makes very tiny, precise movements.</t>
  </si>
  <si>
    <t xml:space="preserve">يصنع المشغّل الكهروضغطي حركات صغيرة جداً ودقيقة.</t>
  </si>
  <si>
    <t xml:space="preserve">It is used to position lenses in cameras.</t>
  </si>
  <si>
    <t xml:space="preserve">يُستخدم لتوضع العدسات في الكاميرات.</t>
  </si>
  <si>
    <t xml:space="preserve">S3-SENS-025</t>
  </si>
  <si>
    <t xml:space="preserve">Proprioception</t>
  </si>
  <si>
    <t xml:space="preserve">الحس الذاتي (الاستقبال الذاتي)</t>
  </si>
  <si>
    <t xml:space="preserve">proh-pree-oh-SEP-shun</t>
  </si>
  <si>
    <t xml:space="preserve">A robot's internal sense of its own joint positions, velocities, and torques.</t>
  </si>
  <si>
    <t xml:space="preserve">Proprioception lets a robot know the position of its own joints.</t>
  </si>
  <si>
    <t xml:space="preserve">يتيح الحس الذاتي للروبوت معرفة موضع مفاصله.</t>
  </si>
  <si>
    <t xml:space="preserve">Encoders give the robot a sense of proprioception.</t>
  </si>
  <si>
    <t xml:space="preserve">تعطي المُرمِّزات الروبوت حساً ذاتياً.</t>
  </si>
  <si>
    <t xml:space="preserve">S3-ELEC-004</t>
  </si>
  <si>
    <t xml:space="preserve">Quadrature</t>
  </si>
  <si>
    <t xml:space="preserve">التربيع الطوري</t>
  </si>
  <si>
    <t xml:space="preserve">KWOD-ruh-chur</t>
  </si>
  <si>
    <t xml:space="preserve">In electronics, a 90-degree phase difference between two signals.</t>
  </si>
  <si>
    <t xml:space="preserve">Quadrature means two signals are 90 degrees apart.</t>
  </si>
  <si>
    <t xml:space="preserve">يعني التربيع الطوري أن إشارتين تفصل بينهما 90 درجة.</t>
  </si>
  <si>
    <t xml:space="preserve">Quadrature signals show the direction of rotation.</t>
  </si>
  <si>
    <t xml:space="preserve">تُظهر إشارات التربيع الطوري اتجاه الدوران.</t>
  </si>
  <si>
    <t xml:space="preserve">S3-SENS-027</t>
  </si>
  <si>
    <t xml:space="preserve">Quadrature encoder</t>
  </si>
  <si>
    <t xml:space="preserve">مُرمِّز تربيعي</t>
  </si>
  <si>
    <t xml:space="preserve">KWOD-ruh-chur en-KOH-der</t>
  </si>
  <si>
    <t xml:space="preserve">An encoder producing two out-of-phase signals; their change rate shows speed and their order shows direction.</t>
  </si>
  <si>
    <t xml:space="preserve">A quadrature encoder gives speed and direction.</t>
  </si>
  <si>
    <t xml:space="preserve">يعطي المُرمِّز التربيعي السرعة والاتجاه.</t>
  </si>
  <si>
    <t xml:space="preserve">We read the quadrature encoder with the microcontroller.</t>
  </si>
  <si>
    <t xml:space="preserve">قرأنا المُرمِّز التربيعي بالمتحكم الدقيق.</t>
  </si>
  <si>
    <t xml:space="preserve">S3-DYNM-002</t>
  </si>
  <si>
    <t xml:space="preserve">Reflected Inertia</t>
  </si>
  <si>
    <t xml:space="preserve">القصور الذاتي المنعكس</t>
  </si>
  <si>
    <t xml:space="preserve">rih-FLEK-tid in-UR-shuh</t>
  </si>
  <si>
    <t xml:space="preserve">The load inertia a motor sees through gearing, reduced by the square of the gear ratio.</t>
  </si>
  <si>
    <t xml:space="preserve">Reflected inertia is the load inertia seen by the motor.</t>
  </si>
  <si>
    <t xml:space="preserve">القصور المنعكس هو قصور الحِمل الذي يراه المحرك.</t>
  </si>
  <si>
    <t xml:space="preserve">A larger gear ratio reduces the reflected inertia.</t>
  </si>
  <si>
    <t xml:space="preserve">نسبة تروس أكبر تقلل القصور الذاتي المنعكس.</t>
  </si>
  <si>
    <t xml:space="preserve">S3-SENS-029</t>
  </si>
  <si>
    <t xml:space="preserve">Resolver</t>
  </si>
  <si>
    <t xml:space="preserve">المُحلِّل (رِزولفر)</t>
  </si>
  <si>
    <t xml:space="preserve">rih-ZOL-ver</t>
  </si>
  <si>
    <t xml:space="preserve">A rugged electromagnetic angle sensor that outputs sine and cosine signals.</t>
  </si>
  <si>
    <t xml:space="preserve">A resolver is tougher than an optical encoder in dirty places.</t>
  </si>
  <si>
    <t xml:space="preserve">المُحلِّل أقوى من المُرمِّز الضوئي في الأماكن المتسخة.</t>
  </si>
  <si>
    <t xml:space="preserve">The servo motor has a resolver to measure the angle.</t>
  </si>
  <si>
    <t xml:space="preserve">للمحرك المؤازر مُحلِّل لقياس الزاوية.</t>
  </si>
  <si>
    <t xml:space="preserve">S3-MECH-009</t>
  </si>
  <si>
    <t xml:space="preserve">Rotary Vector Drive (RV)</t>
  </si>
  <si>
    <t xml:space="preserve">مخفض RV</t>
  </si>
  <si>
    <t xml:space="preserve">ROH-tuh-ree VEK-ter DRYV</t>
  </si>
  <si>
    <t xml:space="preserve">A brand of speed reducer that converts high speed and low torque into low speed and high torque, usually on major axes.</t>
  </si>
  <si>
    <t xml:space="preserve">An RV drive gives high torque at low speed.</t>
  </si>
  <si>
    <t xml:space="preserve">يعطي مخفض RV عزماً عالياً بسرعة منخفضة.</t>
  </si>
  <si>
    <t xml:space="preserve">RV drives are common on the main axes of big robots.</t>
  </si>
  <si>
    <t xml:space="preserve">تنتشر مخفضات RV على المحاور الرئيسية للروبوتات الكبيرة.</t>
  </si>
  <si>
    <t xml:space="preserve">S3-ACTU-012</t>
  </si>
  <si>
    <t xml:space="preserve">Servo Pack</t>
  </si>
  <si>
    <t xml:space="preserve">وحدة تشغيل السيرفو</t>
  </si>
  <si>
    <t xml:space="preserve">SUR-voh PAK</t>
  </si>
  <si>
    <t xml:space="preserve">An AC power device that converts supply power into PWM output to control motor speed, direction, acceleration, and braking.</t>
  </si>
  <si>
    <t xml:space="preserve">The servo pack controls the speed and direction of the motor.</t>
  </si>
  <si>
    <t xml:space="preserve">تتحكم وحدة تشغيل السيرفو في سرعة المحرك واتجاهه.</t>
  </si>
  <si>
    <t xml:space="preserve">A fault in the servo pack stopped the axis.</t>
  </si>
  <si>
    <t xml:space="preserve">أوقف عطل في وحدة تشغيل السيرفو المحور.</t>
  </si>
  <si>
    <t xml:space="preserve">S3-ACTU-015</t>
  </si>
  <si>
    <t xml:space="preserve">Torque Constant (Kt)</t>
  </si>
  <si>
    <t xml:space="preserve">ثابت العزم</t>
  </si>
  <si>
    <t xml:space="preserve">TORK KON-stunt</t>
  </si>
  <si>
    <t xml:space="preserve">The ratio relating motor torque to current, allowing torque to be commanded through current control.</t>
  </si>
  <si>
    <t xml:space="preserve">The torque constant links motor current to torque.</t>
  </si>
  <si>
    <t xml:space="preserve">يربط ثابت العزم تيار المحرك بالعزم.</t>
  </si>
  <si>
    <t xml:space="preserve">Kt is given in newton-meters per ampere.</t>
  </si>
  <si>
    <t xml:space="preserve">يُعطى Kt بوحدة نيوتن·متر لكل أمبير.</t>
  </si>
  <si>
    <t xml:space="preserve">S3-CTRL-004</t>
  </si>
  <si>
    <t xml:space="preserve">Velocity feedback</t>
  </si>
  <si>
    <t xml:space="preserve">التغذية الراجعة للسرعة</t>
  </si>
  <si>
    <t xml:space="preserve">vuh-LOS-ih-tee FEED-bak</t>
  </si>
  <si>
    <t xml:space="preserve">Feedback where the signal fed back is the rate of change of a signal.</t>
  </si>
  <si>
    <t xml:space="preserve">Velocity feedback improves the stability of the servo.</t>
  </si>
  <si>
    <t xml:space="preserve">تحسّن التغذية الراجعة للسرعة استقرار المؤازر.</t>
  </si>
  <si>
    <t xml:space="preserve">A tachometer provides velocity feedback.</t>
  </si>
  <si>
    <t xml:space="preserve">يوفر مقياس الدوران التغذية الراجعة للسرعة.</t>
  </si>
  <si>
    <t xml:space="preserve">S3-CTRL-005</t>
  </si>
  <si>
    <t xml:space="preserve">Velocity Loop</t>
  </si>
  <si>
    <t xml:space="preserve">حلقة السرعة</t>
  </si>
  <si>
    <t xml:space="preserve">vuh-LOS-ih-tee LOOP</t>
  </si>
  <si>
    <t xml:space="preserve">The middle loop in a cascaded servo system that regulates speed between the current and position loops.</t>
  </si>
  <si>
    <t xml:space="preserve">The velocity loop controls the motor speed.</t>
  </si>
  <si>
    <t xml:space="preserve">تتحكم حلقة السرعة في سرعة المحرك.</t>
  </si>
  <si>
    <t xml:space="preserve">The velocity loop sits between the current and position loops.</t>
  </si>
  <si>
    <t xml:space="preserve">تقع حلقة السرعة بين حلقتي التيار والموضع.</t>
  </si>
  <si>
    <t xml:space="preserve">S4-EMBD-001</t>
  </si>
  <si>
    <t xml:space="preserve">Central Processing Unit (CPU)</t>
  </si>
  <si>
    <t xml:space="preserve">وحدة المعالجة المركزية</t>
  </si>
  <si>
    <t xml:space="preserve">SEN-trul PROS-es-ing YOO-nit</t>
  </si>
  <si>
    <t xml:space="preserve">The main processor and circuit board of the controller system.</t>
  </si>
  <si>
    <t xml:space="preserve">The CPU runs the robot's control program.</t>
  </si>
  <si>
    <t xml:space="preserve">يشغّل المعالج المركزي برنامج تحكم الروبوت.</t>
  </si>
  <si>
    <t xml:space="preserve">A faster CPU gives a shorter control cycle.</t>
  </si>
  <si>
    <t xml:space="preserve">المعالج المركزي الأسرع يعطي دورة تحكم أقصر.</t>
  </si>
  <si>
    <t xml:space="preserve">4 – Embedded Systems | الأنظمة المضمنة</t>
  </si>
  <si>
    <t xml:space="preserve">S4-COMP-001</t>
  </si>
  <si>
    <t xml:space="preserve">Digital Computer</t>
  </si>
  <si>
    <t xml:space="preserve">حاسوب رقمي</t>
  </si>
  <si>
    <t xml:space="preserve">DIJ-ih-tul kum-PYOO-ter</t>
  </si>
  <si>
    <t xml:space="preserve">Computing</t>
  </si>
  <si>
    <t xml:space="preserve">A computer that uses the binary number system for calculations and operations.</t>
  </si>
  <si>
    <t xml:space="preserve">A digital computer works with the binary number system.</t>
  </si>
  <si>
    <t xml:space="preserve">يعمل الحاسوب الرقمي بنظام الأعداد الثنائي.</t>
  </si>
  <si>
    <t xml:space="preserve">The robot controller is a digital computer.</t>
  </si>
  <si>
    <t xml:space="preserve">متحكم الروبوت حاسوب رقمي.</t>
  </si>
  <si>
    <t xml:space="preserve">S4-EMBD-002</t>
  </si>
  <si>
    <t xml:space="preserve">Embedded System</t>
  </si>
  <si>
    <t xml:space="preserve">نظام مدمج</t>
  </si>
  <si>
    <t xml:space="preserve">em-BED-id SIS-tum</t>
  </si>
  <si>
    <t xml:space="preserve">A dedicated computer built into a device, often running real-time firmware.</t>
  </si>
  <si>
    <t xml:space="preserve">A washing machine has an embedded system inside.</t>
  </si>
  <si>
    <t xml:space="preserve">تحتوي غسالة الملابس على نظام مدمج بداخلها.</t>
  </si>
  <si>
    <t xml:space="preserve">An embedded system runs the robot's motor control.</t>
  </si>
  <si>
    <t xml:space="preserve">يشغّل النظام المدمج التحكم في محركات الروبوت.</t>
  </si>
  <si>
    <t xml:space="preserve">S7-INTV-018</t>
  </si>
  <si>
    <t xml:space="preserve">S4-COMP-002</t>
  </si>
  <si>
    <t xml:space="preserve">Input Devices</t>
  </si>
  <si>
    <t xml:space="preserve">أجهزة الإدخال</t>
  </si>
  <si>
    <t xml:space="preserve">IN-put dih-VY-sez</t>
  </si>
  <si>
    <t xml:space="preserve">Devices such as pendants, keyboards, and joysticks that let humans program, control, and simulate robots.</t>
  </si>
  <si>
    <t xml:space="preserve">A keyboard and a joystick are input devices.</t>
  </si>
  <si>
    <t xml:space="preserve">لوحة المفاتيح وعصا التحكم أجهزة إدخال.</t>
  </si>
  <si>
    <t xml:space="preserve">The teach pendant is also an input device for the robot.</t>
  </si>
  <si>
    <t xml:space="preserve">وحدة التعليم اليدوية جهاز إدخال أيضاً للروبوت.</t>
  </si>
  <si>
    <t xml:space="preserve">S4-PROG-004</t>
  </si>
  <si>
    <t xml:space="preserve">Instruction</t>
  </si>
  <si>
    <t xml:space="preserve">تعليمة</t>
  </si>
  <si>
    <t xml:space="preserve">in-STRUK-shun</t>
  </si>
  <si>
    <t xml:space="preserve">A line of programming code that triggers action by the system controller.</t>
  </si>
  <si>
    <t xml:space="preserve">Each instruction in the program tells the robot what to do.</t>
  </si>
  <si>
    <t xml:space="preserve">كل تعليمة في البرنامج تخبر الروبوت بما يفعله.</t>
  </si>
  <si>
    <t xml:space="preserve">The controller executes one instruction at a time.</t>
  </si>
  <si>
    <t xml:space="preserve">ينفذ المتحكم تعليمة واحدة في كل مرة.</t>
  </si>
  <si>
    <t xml:space="preserve">S4-COMM-001</t>
  </si>
  <si>
    <t xml:space="preserve">Interface</t>
  </si>
  <si>
    <t xml:space="preserve">الواجهة البينية</t>
  </si>
  <si>
    <t xml:space="preserve">IN-ter-fays</t>
  </si>
  <si>
    <t xml:space="preserve">Communication</t>
  </si>
  <si>
    <t xml:space="preserve">The boundary between robots and nearby equipment, carrying input and output signals.</t>
  </si>
  <si>
    <t xml:space="preserve">The interface connects the robot to the conveyor.</t>
  </si>
  <si>
    <t xml:space="preserve">توصّل الواجهة البينية الروبوت بالسير الناقل.</t>
  </si>
  <si>
    <t xml:space="preserve">The operator uses a touch screen interface.</t>
  </si>
  <si>
    <t xml:space="preserve">يستخدم المشغّل واجهة بشاشة لمس.</t>
  </si>
  <si>
    <t xml:space="preserve">S7-INTV-010; S7-TRBL-014</t>
  </si>
  <si>
    <t xml:space="preserve">S4-COMP-003</t>
  </si>
  <si>
    <t xml:space="preserve">Logic</t>
  </si>
  <si>
    <t xml:space="preserve">المنطق</t>
  </si>
  <si>
    <t xml:space="preserve">LOJ-ik</t>
  </si>
  <si>
    <t xml:space="preserve">A branch of mathematics dealing with true or false signals, which underpins modern computers.</t>
  </si>
  <si>
    <t xml:space="preserve">Digital logic uses true and false signals.</t>
  </si>
  <si>
    <t xml:space="preserve">يستخدم المنطق الرقمي إشارات صواب وخطأ.</t>
  </si>
  <si>
    <t xml:space="preserve">The PLC program is built from logic.</t>
  </si>
  <si>
    <t xml:space="preserve">برنامج PLC مبني من المنطق.</t>
  </si>
  <si>
    <t xml:space="preserve">S4-EMBD-007</t>
  </si>
  <si>
    <t xml:space="preserve">Microcontroller Unit (MCU)</t>
  </si>
  <si>
    <t xml:space="preserve">المتحكم الدقيق</t>
  </si>
  <si>
    <t xml:space="preserve">MY-kroh-kun-TROH-ler YOO-nit</t>
  </si>
  <si>
    <t xml:space="preserve">A single-chip processor with memory and peripherals for deterministic embedded control tasks.</t>
  </si>
  <si>
    <t xml:space="preserve">The MCU reads the sensors and drives the motors.</t>
  </si>
  <si>
    <t xml:space="preserve">يقرأ المتحكم الدقيق الحساسات ويدير المحركات.</t>
  </si>
  <si>
    <t xml:space="preserve">An Arduino board has a small MCU on it.</t>
  </si>
  <si>
    <t xml:space="preserve">تحتوي لوحة أردوينو على متحكم دقيق صغير.</t>
  </si>
  <si>
    <t xml:space="preserve">S4-ELEC-003</t>
  </si>
  <si>
    <t xml:space="preserve">Pulse Width Modulation (PWM)</t>
  </si>
  <si>
    <t xml:space="preserve">تعديل عرض النبضة</t>
  </si>
  <si>
    <t xml:space="preserve">PULS WIDTH mod-yuh-LAY-shun</t>
  </si>
  <si>
    <t xml:space="preserve">A method of controlling average power by varying the on-time ratio of a switched signal.</t>
  </si>
  <si>
    <t xml:space="preserve">PWM controls motor speed by changing the on-time of the signal.</t>
  </si>
  <si>
    <t xml:space="preserve">يتحكم PWM في سرعة المحرك بتغيير زمن تشغيل الإشارة.</t>
  </si>
  <si>
    <t xml:space="preserve">A PWM signal dims the LED.</t>
  </si>
  <si>
    <t xml:space="preserve">تخفّض إشارة PWM سطوع الصمام الثنائي الباعث للضوء.</t>
  </si>
  <si>
    <t xml:space="preserve">S7-INTV-011</t>
  </si>
  <si>
    <t xml:space="preserve">S4-ELEC-001</t>
  </si>
  <si>
    <t xml:space="preserve">Analog-to-Digital Converter (ADC)</t>
  </si>
  <si>
    <t xml:space="preserve">محوّل تناظري إلى رقمي</t>
  </si>
  <si>
    <t xml:space="preserve">AN-uh-log too DIJ-ih-tul kun-VUR-ter</t>
  </si>
  <si>
    <t xml:space="preserve">A circuit that turns a continuous voltage into digital values, with bit resolution setting the smallest detectable change.</t>
  </si>
  <si>
    <t xml:space="preserve">The ADC converts the sensor voltage into a number.</t>
  </si>
  <si>
    <t xml:space="preserve">يحوّل المحوّل التناظري إلى رقمي جهد الحساس إلى رقم.</t>
  </si>
  <si>
    <t xml:space="preserve">A 12-bit ADC gives 4096 possible values.</t>
  </si>
  <si>
    <t xml:space="preserve">يعطي محوّل ADC بدقة 12 بت قيماً ممكنة عددها 4096.</t>
  </si>
  <si>
    <t xml:space="preserve">S4-PROG-002</t>
  </si>
  <si>
    <t xml:space="preserve">Control Command</t>
  </si>
  <si>
    <t xml:space="preserve">أمر التحكم</t>
  </si>
  <si>
    <t xml:space="preserve">kun-TROHL kuh-MAND</t>
  </si>
  <si>
    <t xml:space="preserve">An instruction entered through an input device, interpreted by the controller, and sent to the actuators.</t>
  </si>
  <si>
    <t xml:space="preserve">The operator sent a control command to start the conveyor.</t>
  </si>
  <si>
    <t xml:space="preserve">أرسل المشغّل أمر تحكم لتشغيل السير الناقل.</t>
  </si>
  <si>
    <t xml:space="preserve">Each control command is checked by the controller before it is executed.</t>
  </si>
  <si>
    <t xml:space="preserve">يفحص المتحكم كل أمر تحكم قبل تنفيذه.</t>
  </si>
  <si>
    <t xml:space="preserve">S4-PROG-003</t>
  </si>
  <si>
    <t xml:space="preserve">Control Program</t>
  </si>
  <si>
    <t xml:space="preserve">برنامج التحكم</t>
  </si>
  <si>
    <t xml:space="preserve">kun-TROHL PROH-gram</t>
  </si>
  <si>
    <t xml:space="preserve">Built-in control information that defines possible robot behaviors and is not meant to be altered.</t>
  </si>
  <si>
    <t xml:space="preserve">The control program is built in and should not be changed.</t>
  </si>
  <si>
    <t xml:space="preserve">برنامج التحكم مدمج ولا ينبغي تغييره.</t>
  </si>
  <si>
    <t xml:space="preserve">The control program defines what the robot is able to do.</t>
  </si>
  <si>
    <t xml:space="preserve">يحدد برنامج التحكم ما يستطيع الروبوت فعله.</t>
  </si>
  <si>
    <t xml:space="preserve">S4-CTRL-001</t>
  </si>
  <si>
    <t xml:space="preserve">Controller System</t>
  </si>
  <si>
    <t xml:space="preserve">نظام المتحكم</t>
  </si>
  <si>
    <t xml:space="preserve">kun-TROH-ler SIS-tum</t>
  </si>
  <si>
    <t xml:space="preserve">The computer that stores robot and work-environment data and runs the programs that operate the robot.</t>
  </si>
  <si>
    <t xml:space="preserve">The controller system stores the program and the work environment data.</t>
  </si>
  <si>
    <t xml:space="preserve">يخزّن نظام المتحكم البرنامج وبيانات بيئة العمل.</t>
  </si>
  <si>
    <t xml:space="preserve">The controller system was updated to the latest software version.</t>
  </si>
  <si>
    <t xml:space="preserve">حُدّث نظام المتحكم إلى أحدث إصدار برمجي.</t>
  </si>
  <si>
    <t xml:space="preserve">S4-EMBD-003</t>
  </si>
  <si>
    <t xml:space="preserve">Expandability</t>
  </si>
  <si>
    <t xml:space="preserve">قابلية التوسع</t>
  </si>
  <si>
    <t xml:space="preserve">ik-span-duh-BIL-ih-tee</t>
  </si>
  <si>
    <t xml:space="preserve">The ability to add resources to a system, such as memory, storage, or I/O cards.</t>
  </si>
  <si>
    <t xml:space="preserve">Expandability lets us add more memory or I/O cards later.</t>
  </si>
  <si>
    <t xml:space="preserve">تتيح قابلية التوسع إضافة ذاكرة أو بطاقات إدخال/إخراج لاحقاً.</t>
  </si>
  <si>
    <t xml:space="preserve">We chose this controller because of its expandability.</t>
  </si>
  <si>
    <t xml:space="preserve">اخترنا هذا المتحكم بسبب قابلية التوسع فيه.</t>
  </si>
  <si>
    <t xml:space="preserve">S4-EMBD-004</t>
  </si>
  <si>
    <t xml:space="preserve">Firmware</t>
  </si>
  <si>
    <t xml:space="preserve">البرامج الثابتة</t>
  </si>
  <si>
    <t xml:space="preserve">FURM-wair</t>
  </si>
  <si>
    <t xml:space="preserve">Software that gives direct control over a device's hardware.</t>
  </si>
  <si>
    <t xml:space="preserve">Firmware is stored inside the device and controls its hardware.</t>
  </si>
  <si>
    <t xml:space="preserve">البرامج الثابتة مخزّنة داخل الجهاز وتتحكم في عتاده.</t>
  </si>
  <si>
    <t xml:space="preserve">We updated the firmware of the motor drive.</t>
  </si>
  <si>
    <t xml:space="preserve">حدّثنا البرامج الثابتة لمشغّل المحرك.</t>
  </si>
  <si>
    <t xml:space="preserve">S7-INTV-016; S7-TRBL-009</t>
  </si>
  <si>
    <t xml:space="preserve">S4-SWDS-001</t>
  </si>
  <si>
    <t xml:space="preserve">Integrated development environment (IDE)</t>
  </si>
  <si>
    <t xml:space="preserve">بيئة التطوير المتكاملة</t>
  </si>
  <si>
    <t xml:space="preserve">IN-tuh-gray-tid dih-VEL-up-munt en-VY-run-munt</t>
  </si>
  <si>
    <t xml:space="preserve">A software tool that gives programmers what they need to write other programs.</t>
  </si>
  <si>
    <t xml:space="preserve">An IDE helps you write, test, and upload code.</t>
  </si>
  <si>
    <t xml:space="preserve">تساعدك بيئة التطوير المتكاملة على كتابة الشيفرة واختبارها ورفعها.</t>
  </si>
  <si>
    <t xml:space="preserve">Arduino IDE is used to program the microcontroller.</t>
  </si>
  <si>
    <t xml:space="preserve">تُستخدم بيئة Arduino IDE لبرمجة المتحكم الدقيق.</t>
  </si>
  <si>
    <t xml:space="preserve">S4-EMBD-006</t>
  </si>
  <si>
    <t xml:space="preserve">Interrupt</t>
  </si>
  <si>
    <t xml:space="preserve">المقاطعة</t>
  </si>
  <si>
    <t xml:space="preserve">IN-tuh-rupt</t>
  </si>
  <si>
    <t xml:space="preserve">A signal that pauses a microcontroller's current task to handle a time-critical event immediately.</t>
  </si>
  <si>
    <t xml:space="preserve">An interrupt lets the microcontroller react to a button immediately.</t>
  </si>
  <si>
    <t xml:space="preserve">تتيح المقاطعة للمتحكم الدقيق الاستجابة لزر فوراً.</t>
  </si>
  <si>
    <t xml:space="preserve">The encoder pulses trigger an interrupt.</t>
  </si>
  <si>
    <t xml:space="preserve">تُطلق نبضات المُرمِّز مقاطعة.</t>
  </si>
  <si>
    <t xml:space="preserve">S4-MOBL-001</t>
  </si>
  <si>
    <t xml:space="preserve">Localization</t>
  </si>
  <si>
    <t xml:space="preserve">تحديد الموقع</t>
  </si>
  <si>
    <t xml:space="preserve">loh-kuh-lih-ZAY-shun</t>
  </si>
  <si>
    <t xml:space="preserve">Working out where a robot is located.</t>
  </si>
  <si>
    <t xml:space="preserve">Localization means finding where the robot is.</t>
  </si>
  <si>
    <t xml:space="preserve">يعني تحديد الموقع معرفة مكان الروبوت.</t>
  </si>
  <si>
    <t xml:space="preserve">The robot uses a map for localization.</t>
  </si>
  <si>
    <t xml:space="preserve">يستخدم الروبوت خريطة لتحديد موقعه.</t>
  </si>
  <si>
    <t xml:space="preserve">S4-CMAI-002</t>
  </si>
  <si>
    <t xml:space="preserve">Machine learning</t>
  </si>
  <si>
    <t xml:space="preserve">تعلّم الآلة</t>
  </si>
  <si>
    <t xml:space="preserve">muh-SHEEN LUR-ning</t>
  </si>
  <si>
    <t xml:space="preserve">Algorithms that learn from data and use it to make predictions.</t>
  </si>
  <si>
    <t xml:space="preserve">Machine learning lets a computer learn from examples.</t>
  </si>
  <si>
    <t xml:space="preserve">يتيح تعلّم الآلة للحاسوب التعلم من الأمثلة.</t>
  </si>
  <si>
    <t xml:space="preserve">The robot uses machine learning to recognize faces.</t>
  </si>
  <si>
    <t xml:space="preserve">يستخدم الروبوت تعلّم الآلة للتعرف على الوجوه.</t>
  </si>
  <si>
    <t xml:space="preserve">S4-CMAI-003</t>
  </si>
  <si>
    <t xml:space="preserve">Neural Network</t>
  </si>
  <si>
    <t xml:space="preserve">شبكة عصبية</t>
  </si>
  <si>
    <t xml:space="preserve">NOOR-ul NET-wurk</t>
  </si>
  <si>
    <t xml:space="preserve">A group of connected neurons.</t>
  </si>
  <si>
    <t xml:space="preserve">A neural network is a group of connected neurons.</t>
  </si>
  <si>
    <t xml:space="preserve">الشبكة العصبية مجموعة من العصبونات المتصلة.</t>
  </si>
  <si>
    <t xml:space="preserve">Neural networks can learn to recognize images.</t>
  </si>
  <si>
    <t xml:space="preserve">تستطيع الشبكات العصبية تعلّم التعرف على الصور.</t>
  </si>
  <si>
    <t xml:space="preserve">S4-EMBD-008</t>
  </si>
  <si>
    <t xml:space="preserve">Real-Time System</t>
  </si>
  <si>
    <t xml:space="preserve">نظام الزمن الحقيقي</t>
  </si>
  <si>
    <t xml:space="preserve">REEL-tyme SIS-tum</t>
  </si>
  <si>
    <t xml:space="preserve">A system where results must arrive on time as well as be correct.</t>
  </si>
  <si>
    <t xml:space="preserve">A real-time system must respond within a fixed time limit.</t>
  </si>
  <si>
    <t xml:space="preserve">يجب أن يستجيب نظام الزمن الحقيقي ضمن حد زمني ثابت.</t>
  </si>
  <si>
    <t xml:space="preserve">Robot controllers are real-time systems.</t>
  </si>
  <si>
    <t xml:space="preserve">متحكمات الروبوت أنظمة زمن حقيقي.</t>
  </si>
  <si>
    <t xml:space="preserve">S7-INTV-016; S7-INTV-018</t>
  </si>
  <si>
    <t xml:space="preserve">S4-ELEC-002</t>
  </si>
  <si>
    <t xml:space="preserve">Backplane</t>
  </si>
  <si>
    <t xml:space="preserve">اللوحة الخلفية</t>
  </si>
  <si>
    <t xml:space="preserve">BAK-plane</t>
  </si>
  <si>
    <t xml:space="preserve">A circuit board with sockets for plugging in other boards, such as PC expansion cards.</t>
  </si>
  <si>
    <t xml:space="preserve">The controller cards are plugged into the backplane.</t>
  </si>
  <si>
    <t xml:space="preserve">تُركَّب بطاقات المتحكم في اللوحة الخلفية.</t>
  </si>
  <si>
    <t xml:space="preserve">A damaged backplane can stop the whole controller.</t>
  </si>
  <si>
    <t xml:space="preserve">قد تؤدي اللوحة الخلفية التالفة إلى إيقاف المتحكم بالكامل.</t>
  </si>
  <si>
    <t xml:space="preserve">S4-PROG-001</t>
  </si>
  <si>
    <t xml:space="preserve">Command Interpreter</t>
  </si>
  <si>
    <t xml:space="preserve">مفسّر الأوامر</t>
  </si>
  <si>
    <t xml:space="preserve">kuh-MAND in-TUR-prih-ter</t>
  </si>
  <si>
    <t xml:space="preserve">Modules that parse and process incoming commands to determine what they mean.</t>
  </si>
  <si>
    <t xml:space="preserve">The command interpreter reads each instruction and decides what it means.</t>
  </si>
  <si>
    <t xml:space="preserve">يقرأ مفسّر الأوامر كل تعليمة ويقرر معناها.</t>
  </si>
  <si>
    <t xml:space="preserve">A faulty command interpreter can cause the robot to ignore instructions.</t>
  </si>
  <si>
    <t xml:space="preserve">قد يتسبب مفسّر الأوامر المعطوب في تجاهل الروبوت للتعليمات.</t>
  </si>
  <si>
    <t xml:space="preserve">S4-CMAI-001</t>
  </si>
  <si>
    <t xml:space="preserve">Fuzzy Logic</t>
  </si>
  <si>
    <t xml:space="preserve">المنطق الضبابي</t>
  </si>
  <si>
    <t xml:space="preserve">FUZ-ee LOJ-ik</t>
  </si>
  <si>
    <t xml:space="preserve">A logic system that handles approximate values rather than only true or false.</t>
  </si>
  <si>
    <t xml:space="preserve">Fuzzy logic works with values between true and false.</t>
  </si>
  <si>
    <t xml:space="preserve">يعمل المنطق الضبابي بقيم بين الصواب والخطأ.</t>
  </si>
  <si>
    <t xml:space="preserve">A washing machine can use fuzzy logic to choose the cycle.</t>
  </si>
  <si>
    <t xml:space="preserve">يمكن لغسالة استخدام المنطق الضبابي لاختيار البرنامج.</t>
  </si>
  <si>
    <t xml:space="preserve">S4-EMBD-005</t>
  </si>
  <si>
    <t xml:space="preserve">Instruction Cycle</t>
  </si>
  <si>
    <t xml:space="preserve">دورة التعليمة</t>
  </si>
  <si>
    <t xml:space="preserve">in-STRUK-shun SY-kul</t>
  </si>
  <si>
    <t xml:space="preserve">The time a controller takes to decode a command before executing it.</t>
  </si>
  <si>
    <t xml:space="preserve">The instruction cycle is the time needed to decode a command.</t>
  </si>
  <si>
    <t xml:space="preserve">دورة التعليمة هي الزمن اللازم لفك شيفرة الأمر.</t>
  </si>
  <si>
    <t xml:space="preserve">A shorter instruction cycle makes the controller faster.</t>
  </si>
  <si>
    <t xml:space="preserve">دورة التعليمة الأقصر تجعل المتحكم أسرع.</t>
  </si>
  <si>
    <t xml:space="preserve">S4-CTRL-002</t>
  </si>
  <si>
    <t xml:space="preserve">Kalman Filter</t>
  </si>
  <si>
    <t xml:space="preserve">مرشّح كالمان</t>
  </si>
  <si>
    <t xml:space="preserve">KAL-mun FIL-ter</t>
  </si>
  <si>
    <t xml:space="preserve">A recursive estimator that combines noisy sensor data with a system model, weighting each source by its uncertainty.</t>
  </si>
  <si>
    <t xml:space="preserve">A Kalman filter combines noisy sensors to estimate the true position.</t>
  </si>
  <si>
    <t xml:space="preserve">يجمع مرشّح كالمان حساسات مشوّشة لتقدير الموضع الحقيقي.</t>
  </si>
  <si>
    <t xml:space="preserve">The robot uses a Kalman filter for navigation.</t>
  </si>
  <si>
    <t xml:space="preserve">يستخدم الروبوت مرشّح كالمان في الملاحة.</t>
  </si>
  <si>
    <t xml:space="preserve">S4-SENS-001</t>
  </si>
  <si>
    <t xml:space="preserve">Sensor Fusion</t>
  </si>
  <si>
    <t xml:space="preserve">دمج الحساسات</t>
  </si>
  <si>
    <t xml:space="preserve">SEN-ser FYOO-zhun</t>
  </si>
  <si>
    <t xml:space="preserve">Combining multiple sensor inputs into one estimate more accurate than any single sensor.</t>
  </si>
  <si>
    <t xml:space="preserve">Sensor fusion combines data from several sensors.</t>
  </si>
  <si>
    <t xml:space="preserve">يجمع دمج الحساسات بيانات من عدة حساسات.</t>
  </si>
  <si>
    <t xml:space="preserve">The robot uses sensor fusion from a camera and a lidar.</t>
  </si>
  <si>
    <t xml:space="preserve">يستخدم الروبوت دمج الحساسات من كاميرا وليدار.</t>
  </si>
  <si>
    <t xml:space="preserve">S4-CMAI-004</t>
  </si>
  <si>
    <t xml:space="preserve">Subsumption architecture</t>
  </si>
  <si>
    <t xml:space="preserve">معمارية الاندماج (Subsumption)</t>
  </si>
  <si>
    <t xml:space="preserve">sub-SUMP-shun AR-kih-tek-chur</t>
  </si>
  <si>
    <t xml:space="preserve">Rodney Brooks's method for deciding which of a robot's actions take priority over others.</t>
  </si>
  <si>
    <t xml:space="preserve">Subsumption architecture decides which behavior has priority.</t>
  </si>
  <si>
    <t xml:space="preserve">تحدد معمارية الاندماج أي سلوك له الأولوية.</t>
  </si>
  <si>
    <t xml:space="preserve">Rodney Brooks proposed subsumption architecture.</t>
  </si>
  <si>
    <t xml:space="preserve">اقترح رودني بروكس معمارية الاندماج.</t>
  </si>
  <si>
    <t xml:space="preserve">S4-ELEC-004</t>
  </si>
  <si>
    <t xml:space="preserve">VLSI (Very Large Scale Integration)</t>
  </si>
  <si>
    <t xml:space="preserve">التكامل واسع النطاق جداً</t>
  </si>
  <si>
    <t xml:space="preserve">VEE-el-ess-AY</t>
  </si>
  <si>
    <t xml:space="preserve">Combining many components onto a single chip.</t>
  </si>
  <si>
    <t xml:space="preserve">VLSI puts millions of transistors on one chip.</t>
  </si>
  <si>
    <t xml:space="preserve">يضع التكامل واسع النطاق جداً ملايين الترانزستورات على شريحة واحدة.</t>
  </si>
  <si>
    <t xml:space="preserve">Modern controllers are built with VLSI technology.</t>
  </si>
  <si>
    <t xml:space="preserve">بُنيت المتحكمات الحديثة بتقنية التكامل واسع النطاق جداً.</t>
  </si>
  <si>
    <t xml:space="preserve">S5-INDA-001</t>
  </si>
  <si>
    <t xml:space="preserve">Arc Welding</t>
  </si>
  <si>
    <t xml:space="preserve">اللحام بالقوس الكهربائي</t>
  </si>
  <si>
    <t xml:space="preserve">ARK WEL-ding</t>
  </si>
  <si>
    <t xml:space="preserve">Industrial Applications</t>
  </si>
  <si>
    <t xml:space="preserve">Welding that uses electric current through an electrode to create an arc that melts metal.</t>
  </si>
  <si>
    <t xml:space="preserve">Arc welding uses an electric arc to melt and join metal.</t>
  </si>
  <si>
    <t xml:space="preserve">يستخدم اللحام بالقوس قوساً كهربائياً لصهر المعدن وربطه.</t>
  </si>
  <si>
    <t xml:space="preserve">The factory uses arc welding for car frames.</t>
  </si>
  <si>
    <t xml:space="preserve">يستخدم المصنع اللحام بالقوس لهياكل السيارات.</t>
  </si>
  <si>
    <t xml:space="preserve">5 – Industrial Automation | الأتمتة الصناعية</t>
  </si>
  <si>
    <t xml:space="preserve">S5-ROBT-001</t>
  </si>
  <si>
    <t xml:space="preserve">Arc Welding Robot</t>
  </si>
  <si>
    <t xml:space="preserve">روبوت لحام بالقوس</t>
  </si>
  <si>
    <t xml:space="preserve">ARK WEL-ding ROH-bot</t>
  </si>
  <si>
    <t xml:space="preserve">An industrial robot that performs arc welding automatically.</t>
  </si>
  <si>
    <t xml:space="preserve">An arc welding robot repeats the same weld with high quality.</t>
  </si>
  <si>
    <t xml:space="preserve">يكرر روبوت اللحام بالقوس اللحام نفسه بجودة عالية.</t>
  </si>
  <si>
    <t xml:space="preserve">The arc welding robot runs all night without a break.</t>
  </si>
  <si>
    <t xml:space="preserve">يعمل روبوت اللحام بالقوس طوال الليل دون توقف.</t>
  </si>
  <si>
    <t xml:space="preserve">S5-ROBT-002</t>
  </si>
  <si>
    <t xml:space="preserve">Assembly Robot</t>
  </si>
  <si>
    <t xml:space="preserve">روبوت تجميع</t>
  </si>
  <si>
    <t xml:space="preserve">uh-SEM-blee ROH-bot</t>
  </si>
  <si>
    <t xml:space="preserve">A robot that grasps and fits parts together in sequence to build finished products.</t>
  </si>
  <si>
    <t xml:space="preserve">An assembly robot fits small parts together on the production line.</t>
  </si>
  <si>
    <t xml:space="preserve">يركّب روبوت التجميع القطع الصغيرة معاً على خط الإنتاج.</t>
  </si>
  <si>
    <t xml:space="preserve">The assembly robot places the screw into the housing.</t>
  </si>
  <si>
    <t xml:space="preserve">يضع روبوت التجميع البرغي داخل الغلاف.</t>
  </si>
  <si>
    <t xml:space="preserve">S5-AUTO-001</t>
  </si>
  <si>
    <t xml:space="preserve">Automation</t>
  </si>
  <si>
    <t xml:space="preserve">الأتمتة</t>
  </si>
  <si>
    <t xml:space="preserve">aw-tuh-MAY-shun</t>
  </si>
  <si>
    <t xml:space="preserve">Production using programmable equipment that can be altered and controlled by software.</t>
  </si>
  <si>
    <t xml:space="preserve">Automation reduces the need for manual work in the factory.</t>
  </si>
  <si>
    <t xml:space="preserve">تقلل الأتمتة الحاجة إلى العمل اليدوي في المصنع.</t>
  </si>
  <si>
    <t xml:space="preserve">The company invested in automation to increase production.</t>
  </si>
  <si>
    <t xml:space="preserve">استثمرت الشركة في الأتمتة لزيادة الإنتاج.</t>
  </si>
  <si>
    <t xml:space="preserve">S5-OPER-001</t>
  </si>
  <si>
    <t xml:space="preserve">Cycle</t>
  </si>
  <si>
    <t xml:space="preserve">دورة</t>
  </si>
  <si>
    <t xml:space="preserve">SY-kul</t>
  </si>
  <si>
    <t xml:space="preserve">Operation</t>
  </si>
  <si>
    <t xml:space="preserve">One complete execution of a set of moves and functions in a robot program.</t>
  </si>
  <si>
    <t xml:space="preserve">One cycle of the program takes twelve seconds.</t>
  </si>
  <si>
    <t xml:space="preserve">تستغرق دورة واحدة من البرنامج اثنتي عشرة ثانية.</t>
  </si>
  <si>
    <t xml:space="preserve">We want to shorten the cycle to increase output.</t>
  </si>
  <si>
    <t xml:space="preserve">نريد تقصير الدورة لزيادة الإنتاج.</t>
  </si>
  <si>
    <t xml:space="preserve">S5-AUTO-007</t>
  </si>
  <si>
    <t xml:space="preserve">Factory Automation</t>
  </si>
  <si>
    <t xml:space="preserve">أتمتة المصانع</t>
  </si>
  <si>
    <t xml:space="preserve">FAK-tuh-ree aw-tuh-MAY-shun</t>
  </si>
  <si>
    <t xml:space="preserve">Integrating industrial machinery through control software to raise efficiency, productivity, and quality while lowering costs.</t>
  </si>
  <si>
    <t xml:space="preserve">Factory automation raises quality and lowers cost.</t>
  </si>
  <si>
    <t xml:space="preserve">ترفع أتمتة المصانع الجودة وتخفض التكلفة.</t>
  </si>
  <si>
    <t xml:space="preserve">He works on factory automation projects.</t>
  </si>
  <si>
    <t xml:space="preserve">يعمل في مشاريع أتمتة المصانع.</t>
  </si>
  <si>
    <t xml:space="preserve">S5-AUTO-010</t>
  </si>
  <si>
    <t xml:space="preserve">in-DUS-tree-ul aw-tuh-MAY-shun</t>
  </si>
  <si>
    <t xml:space="preserve">Using control systems to run industrial machinery and processes in place of human operators, bringing repeatability and productivity.</t>
  </si>
  <si>
    <t xml:space="preserve">Industrial automation uses control systems to run machines.</t>
  </si>
  <si>
    <t xml:space="preserve">تستخدم الأتمتة الصناعية أنظمة تحكم لتشغيل الآلات.</t>
  </si>
  <si>
    <t xml:space="preserve">He studies industrial automation at university.</t>
  </si>
  <si>
    <t xml:space="preserve">يدرس الأتمتة الصناعية في الجامعة.</t>
  </si>
  <si>
    <t xml:space="preserve">S5-AUTO-011</t>
  </si>
  <si>
    <t xml:space="preserve">Industrial Equipment</t>
  </si>
  <si>
    <t xml:space="preserve">المعدات الصناعية</t>
  </si>
  <si>
    <t xml:space="preserve">in-DUS-tree-ul ih-KWIP-munt</t>
  </si>
  <si>
    <t xml:space="preserve">Machinery capable of carrying out industrial operations.</t>
  </si>
  <si>
    <t xml:space="preserve">The factory bought new industrial equipment.</t>
  </si>
  <si>
    <t xml:space="preserve">اشترى المصنع معدات صناعية جديدة.</t>
  </si>
  <si>
    <t xml:space="preserve">Industrial equipment must be inspected regularly.</t>
  </si>
  <si>
    <t xml:space="preserve">يجب فحص المعدات الصناعية بانتظام.</t>
  </si>
  <si>
    <t xml:space="preserve">S5-AUTO-013</t>
  </si>
  <si>
    <t xml:space="preserve">Industrial Robotics</t>
  </si>
  <si>
    <t xml:space="preserve">الروبوتات الصناعية</t>
  </si>
  <si>
    <t xml:space="preserve">in-DUS-tree-ul roh-BOT-iks</t>
  </si>
  <si>
    <t xml:space="preserve">Incorporating robot systems into production.</t>
  </si>
  <si>
    <t xml:space="preserve">Industrial robotics is growing fast in many countries.</t>
  </si>
  <si>
    <t xml:space="preserve">الروبوتات الصناعية تنمو بسرعة في بلدان كثيرة.</t>
  </si>
  <si>
    <t xml:space="preserve">She wants a career in industrial robotics.</t>
  </si>
  <si>
    <t xml:space="preserve">تريد مسيرة مهنية في الروبوتات الصناعية.</t>
  </si>
  <si>
    <t xml:space="preserve">S5-ROBT-004</t>
  </si>
  <si>
    <t xml:space="preserve">Manufacturing Robot</t>
  </si>
  <si>
    <t xml:space="preserve">روبوت تصنيع</t>
  </si>
  <si>
    <t xml:space="preserve">man-yuh-FAK-chur-ing ROH-bot</t>
  </si>
  <si>
    <t xml:space="preserve">A machine that uses automation to turn raw materials into finished goods.</t>
  </si>
  <si>
    <t xml:space="preserve">A manufacturing robot turns raw material into finished goods.</t>
  </si>
  <si>
    <t xml:space="preserve">يحوّل روبوت التصنيع المواد الخام إلى سلع جاهزة.</t>
  </si>
  <si>
    <t xml:space="preserve">Manufacturing robots work in car and electronics factories.</t>
  </si>
  <si>
    <t xml:space="preserve">تعمل روبوتات التصنيع في مصانع السيارات والإلكترونيات.</t>
  </si>
  <si>
    <t xml:space="preserve">S5-INDA-002</t>
  </si>
  <si>
    <t xml:space="preserve">Material Handling</t>
  </si>
  <si>
    <t xml:space="preserve">مناولة المواد</t>
  </si>
  <si>
    <t xml:space="preserve">muh-TEER-ee-ul HAND-ling</t>
  </si>
  <si>
    <t xml:space="preserve">Moving materials from one place to another using a robotic arm.</t>
  </si>
  <si>
    <t xml:space="preserve">Material handling robots move boxes between machines.</t>
  </si>
  <si>
    <t xml:space="preserve">تنقل روبوتات مناولة المواد الصناديق بين الآلات.</t>
  </si>
  <si>
    <t xml:space="preserve">The warehouse uses robots for material handling.</t>
  </si>
  <si>
    <t xml:space="preserve">يستخدم المستودع الروبوتات لمناولة المواد.</t>
  </si>
  <si>
    <t xml:space="preserve">S5-INDA-003</t>
  </si>
  <si>
    <t xml:space="preserve">Palletizing</t>
  </si>
  <si>
    <t xml:space="preserve">الرصّ على المنصات</t>
  </si>
  <si>
    <t xml:space="preserve">PAL-uh-ty-zing</t>
  </si>
  <si>
    <t xml:space="preserve">Moving parts onto a pallet for transport.</t>
  </si>
  <si>
    <t xml:space="preserve">Palletizing robots stack boxes on a pallet.</t>
  </si>
  <si>
    <t xml:space="preserve">تكدّس روبوتات الرصّ الصناديق على منصة.</t>
  </si>
  <si>
    <t xml:space="preserve">Palletizing is a common robot application in warehouses.</t>
  </si>
  <si>
    <t xml:space="preserve">الرصّ على المنصات تطبيق شائع للروبوتات في المستودعات.</t>
  </si>
  <si>
    <t xml:space="preserve">S5-INDA-004</t>
  </si>
  <si>
    <t xml:space="preserve">Pick and Place Cycle</t>
  </si>
  <si>
    <t xml:space="preserve">دورة الالتقاط والوضع</t>
  </si>
  <si>
    <t xml:space="preserve">PIK and PLAYS SY-kul</t>
  </si>
  <si>
    <t xml:space="preserve">The time to pick up an object, place it, and return to rest, including acceleration and deceleration.</t>
  </si>
  <si>
    <t xml:space="preserve">The pick and place cycle takes two seconds.</t>
  </si>
  <si>
    <t xml:space="preserve">تستغرق دورة الالتقاط والوضع ثانيتين.</t>
  </si>
  <si>
    <t xml:space="preserve">Acceleration affects the pick and place cycle time.</t>
  </si>
  <si>
    <t xml:space="preserve">يؤثر التسارع على زمن دورة الالتقاط والوضع.</t>
  </si>
  <si>
    <t xml:space="preserve">S5-ROBT-006</t>
  </si>
  <si>
    <t xml:space="preserve">Pick and Place Robot</t>
  </si>
  <si>
    <t xml:space="preserve">روبوت الالتقاط والوضع</t>
  </si>
  <si>
    <t xml:space="preserve">PIK and PLAYS ROH-bot</t>
  </si>
  <si>
    <t xml:space="preserve">A robot that moves parts from one place to another.</t>
  </si>
  <si>
    <t xml:space="preserve">A pick and place robot moves parts from one place to another.</t>
  </si>
  <si>
    <t xml:space="preserve">ينقل روبوت الالتقاط والوضع القطع من مكان إلى آخر.</t>
  </si>
  <si>
    <t xml:space="preserve">The pick and place robot loads bottles onto the belt.</t>
  </si>
  <si>
    <t xml:space="preserve">يضع روبوت الالتقاط والوضع الزجاجات على الحزام.</t>
  </si>
  <si>
    <t xml:space="preserve">S5-INDA-005</t>
  </si>
  <si>
    <t xml:space="preserve">Pick and Place Task</t>
  </si>
  <si>
    <t xml:space="preserve">مهمة الالتقاط والوضع</t>
  </si>
  <si>
    <t xml:space="preserve">PIK and PLAYS TASK</t>
  </si>
  <si>
    <t xml:space="preserve">A repetitive transfer consisting of a picking action followed by a placing action.</t>
  </si>
  <si>
    <t xml:space="preserve">The pick and place task repeats thousands of times a day.</t>
  </si>
  <si>
    <t xml:space="preserve">تتكرر مهمة الالتقاط والوضع آلاف المرات يومياً.</t>
  </si>
  <si>
    <t xml:space="preserve">A vision system guides the pick and place task.</t>
  </si>
  <si>
    <t xml:space="preserve">يوجّه نظام الرؤية مهمة الالتقاط والوضع.</t>
  </si>
  <si>
    <t xml:space="preserve">S5-BUSQ-001</t>
  </si>
  <si>
    <t xml:space="preserve">Productivity</t>
  </si>
  <si>
    <t xml:space="preserve">الإنتاجية</t>
  </si>
  <si>
    <t xml:space="preserve">proh-duk-TIV-ih-tee</t>
  </si>
  <si>
    <t xml:space="preserve">Business &amp; Quality</t>
  </si>
  <si>
    <t xml:space="preserve">The amount of manufactured product compared with the input material.</t>
  </si>
  <si>
    <t xml:space="preserve">Robots increased the productivity of the factory.</t>
  </si>
  <si>
    <t xml:space="preserve">زادت الروبوتات إنتاجية المصنع.</t>
  </si>
  <si>
    <t xml:space="preserve">Productivity is the output compared with the input.</t>
  </si>
  <si>
    <t xml:space="preserve">الإنتاجية هي المخرجات مقارنةً بالمدخلات.</t>
  </si>
  <si>
    <t xml:space="preserve">S5-AUTO-018</t>
  </si>
  <si>
    <t xml:space="preserve">Programmable Logic Controller (PLC)</t>
  </si>
  <si>
    <t xml:space="preserve">المتحكم المنطقي القابل للبرمجة</t>
  </si>
  <si>
    <t xml:space="preserve">PROH-gram-uh-bul LOJ-ik kun-TROH-ler</t>
  </si>
  <si>
    <t xml:space="preserve">A solid-state, user-programmable industrial controller that handles logic, timing, counting, and data functions and may integrate with robot control.</t>
  </si>
  <si>
    <t xml:space="preserve">The PLC controls the conveyor and the safety doors.</t>
  </si>
  <si>
    <t xml:space="preserve">يتحكم المتحكم المنطقي القابل للبرمجة (PLC) في السير الناقل وأبواب السلامة.</t>
  </si>
  <si>
    <t xml:space="preserve">The PLC sends a start signal to the robot.</t>
  </si>
  <si>
    <t xml:space="preserve">يرسل PLC إشارة بدء إلى الروبوت.</t>
  </si>
  <si>
    <t xml:space="preserve">Definition paraphrased from the listed source(s); pronunciation, Arabic, examples and level are original additions. The Productivity Inc glossary spells it 'Logical'; the standard spelling 'Logic' is used here.</t>
  </si>
  <si>
    <t xml:space="preserve">S5-BUSQ-002</t>
  </si>
  <si>
    <t xml:space="preserve">Robot Manufacturer</t>
  </si>
  <si>
    <t xml:space="preserve">مُصنِّع الروبوتات</t>
  </si>
  <si>
    <t xml:space="preserve">ROH-bot man-yuh-FAK-chur-er</t>
  </si>
  <si>
    <t xml:space="preserve">A company that creates, builds, or sells robots and robotic equipment.</t>
  </si>
  <si>
    <t xml:space="preserve">The robot manufacturer provides training and spare parts.</t>
  </si>
  <si>
    <t xml:space="preserve">توفر الشركة المصنّعة للروبوت التدريب وقطع الغيار.</t>
  </si>
  <si>
    <t xml:space="preserve">Contact the robot manufacturer for a manual.</t>
  </si>
  <si>
    <t xml:space="preserve">تواصل مع الشركة المصنّعة للروبوت للحصول على دليل.</t>
  </si>
  <si>
    <t xml:space="preserve">S5-TOOL-006</t>
  </si>
  <si>
    <t xml:space="preserve">Vacuum Cup Hand</t>
  </si>
  <si>
    <t xml:space="preserve">يد كأس التفريغ</t>
  </si>
  <si>
    <t xml:space="preserve">VAK-yoom KUP HAND</t>
  </si>
  <si>
    <t xml:space="preserve">An end-effector using suction to grasp light to moderate objects such as glass or plastic.</t>
  </si>
  <si>
    <t xml:space="preserve">A vacuum cup hand lifts glass and plastic by suction.</t>
  </si>
  <si>
    <t xml:space="preserve">ترفع يد كأس التفريغ الزجاج والبلاستيك بالشفط.</t>
  </si>
  <si>
    <t xml:space="preserve">The vacuum cup hand dropped the part because of an air leak.</t>
  </si>
  <si>
    <t xml:space="preserve">أسقطت يد كأس التفريغ القطعة بسبب تسرب هواء.</t>
  </si>
  <si>
    <t xml:space="preserve">S5-INDA-006</t>
  </si>
  <si>
    <t xml:space="preserve">Welder</t>
  </si>
  <si>
    <t xml:space="preserve">اللحّام</t>
  </si>
  <si>
    <t xml:space="preserve">WEL-der</t>
  </si>
  <si>
    <t xml:space="preserve">A worker who joins metals using heat.</t>
  </si>
  <si>
    <t xml:space="preserve">The welder joins two metal pieces with heat.</t>
  </si>
  <si>
    <t xml:space="preserve">يربط اللحّام قطعتين معدنيتين بالحرارة.</t>
  </si>
  <si>
    <t xml:space="preserve">A robot can do the job of a welder in a dangerous area.</t>
  </si>
  <si>
    <t xml:space="preserve">يستطيع الروبوت أداء عمل اللحّام في منطقة خطرة.</t>
  </si>
  <si>
    <t xml:space="preserve">S5-AUTO-021</t>
  </si>
  <si>
    <t xml:space="preserve">Work Cell</t>
  </si>
  <si>
    <t xml:space="preserve">خلية العمل</t>
  </si>
  <si>
    <t xml:space="preserve">WURK SEL</t>
  </si>
  <si>
    <t xml:space="preserve">Pieces of equipment in close proximity that all work on the same part.</t>
  </si>
  <si>
    <t xml:space="preserve">The work cell contains a robot, a table, and sensors.</t>
  </si>
  <si>
    <t xml:space="preserve">تحتوي خلية العمل على روبوت وطاولة وحساسات.</t>
  </si>
  <si>
    <t xml:space="preserve">All machines in the work cell work on the same part.</t>
  </si>
  <si>
    <t xml:space="preserve">جميع الآلات في خلية العمل تعمل على القطعة نفسها.</t>
  </si>
  <si>
    <t xml:space="preserve">S7-INTV-010</t>
  </si>
  <si>
    <t xml:space="preserve">S5-AUTO-022</t>
  </si>
  <si>
    <t xml:space="preserve">Work Station</t>
  </si>
  <si>
    <t xml:space="preserve">محطة العمل</t>
  </si>
  <si>
    <t xml:space="preserve">WURK STAY-shun</t>
  </si>
  <si>
    <t xml:space="preserve">A place where parts move to be worked on.</t>
  </si>
  <si>
    <t xml:space="preserve">Each work station performs one step of the process.</t>
  </si>
  <si>
    <t xml:space="preserve">تنفذ كل محطة عمل خطوة واحدة من العملية.</t>
  </si>
  <si>
    <t xml:space="preserve">The part moves to the next work station on the conveyor.</t>
  </si>
  <si>
    <t xml:space="preserve">تنتقل القطعة إلى محطة العمل التالية على السير.</t>
  </si>
  <si>
    <t xml:space="preserve">S5-INDA-007</t>
  </si>
  <si>
    <t xml:space="preserve">Work-Piece</t>
  </si>
  <si>
    <t xml:space="preserve">قطعة العمل</t>
  </si>
  <si>
    <t xml:space="preserve">WURK-peess</t>
  </si>
  <si>
    <t xml:space="preserve">Any part being worked on, refined, or manufactured before it becomes a finished product.</t>
  </si>
  <si>
    <t xml:space="preserve">The robot holds the work-piece while the machine cuts it.</t>
  </si>
  <si>
    <t xml:space="preserve">يمسك الروبوت قطعة العمل بينما تقطعها الآلة.</t>
  </si>
  <si>
    <t xml:space="preserve">Check the work-piece for defects after machining.</t>
  </si>
  <si>
    <t xml:space="preserve">افحص قطعة العمل بحثاً عن عيوب بعد التشغيل الآلي.</t>
  </si>
  <si>
    <t xml:space="preserve">S5-AUTO-002</t>
  </si>
  <si>
    <t xml:space="preserve">Automation Solutions</t>
  </si>
  <si>
    <t xml:space="preserve">حلول الأتمتة</t>
  </si>
  <si>
    <t xml:space="preserve">aw-tuh-MAY-shun suh-LOO-shunz</t>
  </si>
  <si>
    <t xml:space="preserve">The machinery and programs used for automatic operation.</t>
  </si>
  <si>
    <t xml:space="preserve">We offer automation solutions for packaging lines.</t>
  </si>
  <si>
    <t xml:space="preserve">نقدّم حلول أتمتة لخطوط التعبئة.</t>
  </si>
  <si>
    <t xml:space="preserve">The automation solutions include robots, sensors, and software.</t>
  </si>
  <si>
    <t xml:space="preserve">تشمل حلول الأتمتة الروبوتات والحساسات والبرمجيات.</t>
  </si>
  <si>
    <t xml:space="preserve">S5-SWDS-001</t>
  </si>
  <si>
    <t xml:space="preserve">CAM (Computer-Aided Manufacturing)</t>
  </si>
  <si>
    <t xml:space="preserve">التصنيع بمساعدة الحاسوب</t>
  </si>
  <si>
    <t xml:space="preserve">Software used to design or alter manufacturing processes.</t>
  </si>
  <si>
    <t xml:space="preserve">CAM turns the design into instructions for the machine.</t>
  </si>
  <si>
    <t xml:space="preserve">يحوّل التصنيع بمساعدة الحاسوب التصميم إلى تعليمات للآلة.</t>
  </si>
  <si>
    <t xml:space="preserve">We used CAM to generate the tool path.</t>
  </si>
  <si>
    <t xml:space="preserve">استخدمنا التصنيع بمساعدة الحاسوب لتوليد مسار الأداة.</t>
  </si>
  <si>
    <t xml:space="preserve">S5-AUTO-004</t>
  </si>
  <si>
    <t xml:space="preserve">Carousel</t>
  </si>
  <si>
    <t xml:space="preserve">منصة دوّارة</t>
  </si>
  <si>
    <t xml:space="preserve">KAIR-uh-sel</t>
  </si>
  <si>
    <t xml:space="preserve">A rotating platform that delivers workpieces to a robot's loading station and queues them.</t>
  </si>
  <si>
    <t xml:space="preserve">The carousel rotates parts to the loading station.</t>
  </si>
  <si>
    <t xml:space="preserve">تُدير المنصة الدوّارة القطع إلى محطة التحميل.</t>
  </si>
  <si>
    <t xml:space="preserve">The robot picks each workpiece from the carousel.</t>
  </si>
  <si>
    <t xml:space="preserve">يلتقط الروبوت كل قطعة من المنصة الدوّارة.</t>
  </si>
  <si>
    <t xml:space="preserve">S5-TOOL-001</t>
  </si>
  <si>
    <t xml:space="preserve">End-Of-Arm Tooling (EOAT)</t>
  </si>
  <si>
    <t xml:space="preserve">أدوات نهاية الذراع</t>
  </si>
  <si>
    <t xml:space="preserve">END uv ARM TOO-ling</t>
  </si>
  <si>
    <t xml:space="preserve">Application tools at the end of the robot arm, whose quality strongly affects system performance.</t>
  </si>
  <si>
    <t xml:space="preserve">The quality of the end-of-arm tooling affects the whole system.</t>
  </si>
  <si>
    <t xml:space="preserve">تؤثر جودة أدوات نهاية الذراع على النظام بأكمله.</t>
  </si>
  <si>
    <t xml:space="preserve">We are designing new end-of-arm tooling for the packaging line.</t>
  </si>
  <si>
    <t xml:space="preserve">نصمم أدوات نهاية ذراع جديدة لخط التعبئة.</t>
  </si>
  <si>
    <t xml:space="preserve">S5-COMM-001</t>
  </si>
  <si>
    <t xml:space="preserve">Fieldbus</t>
  </si>
  <si>
    <t xml:space="preserve">ناقل الحقل (فيلدباص)</t>
  </si>
  <si>
    <t xml:space="preserve">FEELD-bus</t>
  </si>
  <si>
    <t xml:space="preserve">A digital network that links industrial sensors, actuators, and controllers, replacing point-to-point analog wiring.</t>
  </si>
  <si>
    <t xml:space="preserve">A fieldbus connects sensors and drives with one cable.</t>
  </si>
  <si>
    <t xml:space="preserve">يربط ناقل الحقل الحساسات والمشغّلات بكابل واحد.</t>
  </si>
  <si>
    <t xml:space="preserve">Profibus and EtherCAT are fieldbus systems.</t>
  </si>
  <si>
    <t xml:space="preserve">Profibus وEtherCAT أنظمة ناقل حقل.</t>
  </si>
  <si>
    <t xml:space="preserve">S7-TRBL-014</t>
  </si>
  <si>
    <t xml:space="preserve">S5-AUTO-008</t>
  </si>
  <si>
    <t xml:space="preserve">Fixed/Hard Automation</t>
  </si>
  <si>
    <t xml:space="preserve">الأتمتة الثابتة</t>
  </si>
  <si>
    <t xml:space="preserve">FIKST HARD aw-tuh-MAY-shun</t>
  </si>
  <si>
    <t xml:space="preserve">Electronically controlled automation for simple straight or circular operations, suited to large runs with little flexibility.</t>
  </si>
  <si>
    <t xml:space="preserve">Hard automation is best for making large numbers of the same product.</t>
  </si>
  <si>
    <t xml:space="preserve">الأتمتة الثابتة هي الأفضل لإنتاج أعداد كبيرة من المنتج نفسه.</t>
  </si>
  <si>
    <t xml:space="preserve">Fixed automation is fast but not flexible.</t>
  </si>
  <si>
    <t xml:space="preserve">الأتمتة الثابتة سريعة لكنها غير مرنة.</t>
  </si>
  <si>
    <t xml:space="preserve">S5-AUTO-009</t>
  </si>
  <si>
    <t xml:space="preserve">Flexible Automation</t>
  </si>
  <si>
    <t xml:space="preserve">الأتمتة المرنة</t>
  </si>
  <si>
    <t xml:space="preserve">FLEK-suh-bul aw-tuh-MAY-shun</t>
  </si>
  <si>
    <t xml:space="preserve">Systems that can be reconfigured and redesigned easily, reducing setup time.</t>
  </si>
  <si>
    <t xml:space="preserve">Flexible automation can be reconfigured quickly for a new product.</t>
  </si>
  <si>
    <t xml:space="preserve">يمكن إعادة تهيئة الأتمتة المرنة بسرعة لمنتج جديد.</t>
  </si>
  <si>
    <t xml:space="preserve">Flexible automation reduces setup time.</t>
  </si>
  <si>
    <t xml:space="preserve">تقلل الأتمتة المرنة زمن الإعداد.</t>
  </si>
  <si>
    <t xml:space="preserve">S5-MECH-001</t>
  </si>
  <si>
    <t xml:space="preserve">Gantry</t>
  </si>
  <si>
    <t xml:space="preserve">جسر متحرك (غانتري)</t>
  </si>
  <si>
    <t xml:space="preserve">GAN-tree</t>
  </si>
  <si>
    <t xml:space="preserve">A motion platform where a beam spans two synchronized linear axes to carry a tool across a work area.</t>
  </si>
  <si>
    <t xml:space="preserve">The gantry carries the tool over the whole work area.</t>
  </si>
  <si>
    <t xml:space="preserve">يحمل الجسر المتحرك الأداة فوق منطقة العمل بأكملها.</t>
  </si>
  <si>
    <t xml:space="preserve">A gantry system moves along X, Y, and Z axes.</t>
  </si>
  <si>
    <t xml:space="preserve">يتحرك نظام الجسر على المحاور X وY وZ.</t>
  </si>
  <si>
    <t xml:space="preserve">S5-ROBT-003</t>
  </si>
  <si>
    <t xml:space="preserve">Gantry Robot</t>
  </si>
  <si>
    <t xml:space="preserve">روبوت جسري</t>
  </si>
  <si>
    <t xml:space="preserve">GAN-tree ROH-bot</t>
  </si>
  <si>
    <t xml:space="preserve">A robot with three degrees of freedom along the X, Y, and Z axes, often used to pick up objects.</t>
  </si>
  <si>
    <t xml:space="preserve">A gantry robot is often used to pick up heavy boxes.</t>
  </si>
  <si>
    <t xml:space="preserve">يُستخدم الروبوت الجسري غالباً لالتقاط الصناديق الثقيلة.</t>
  </si>
  <si>
    <t xml:space="preserve">The gantry robot loads the CNC machine from above.</t>
  </si>
  <si>
    <t xml:space="preserve">يحمّل الروبوت الجسري آلة CNC من الأعلى.</t>
  </si>
  <si>
    <t xml:space="preserve">S5-AUTO-012</t>
  </si>
  <si>
    <t xml:space="preserve">Industrial Robot System</t>
  </si>
  <si>
    <t xml:space="preserve">نظام روبوت صناعي</t>
  </si>
  <si>
    <t xml:space="preserve">in-DUS-tree-ul ROH-bot SIS-tum</t>
  </si>
  <si>
    <t xml:space="preserve">A system of robots, machinery, and devices programmed to perform operations through an interface.</t>
  </si>
  <si>
    <t xml:space="preserve">An industrial robot system includes the robot, tools, and safety devices.</t>
  </si>
  <si>
    <t xml:space="preserve">يشمل نظام الروبوت الصناعي الروبوت والأدوات وأجهزة السلامة.</t>
  </si>
  <si>
    <t xml:space="preserve">The integrator designed the industrial robot system for our plant.</t>
  </si>
  <si>
    <t xml:space="preserve">صمم المُكامِل نظام الروبوت الصناعي لمصنعنا.</t>
  </si>
  <si>
    <t xml:space="preserve">S5-AUTO-014</t>
  </si>
  <si>
    <t xml:space="preserve">Integrate</t>
  </si>
  <si>
    <t xml:space="preserve">يدمج / يُكامل</t>
  </si>
  <si>
    <t xml:space="preserve">IN-tuh-grayt</t>
  </si>
  <si>
    <t xml:space="preserve">Fitting subsystems, such as robots and automation devices, together into one system.</t>
  </si>
  <si>
    <t xml:space="preserve">We need to integrate the robot with the conveyor.</t>
  </si>
  <si>
    <t xml:space="preserve">نحتاج إلى دمج الروبوت مع السير الناقل.</t>
  </si>
  <si>
    <t xml:space="preserve">The team integrated the vision system into the cell.</t>
  </si>
  <si>
    <t xml:space="preserve">دمج الفريق نظام الرؤية في الخلية.</t>
  </si>
  <si>
    <t xml:space="preserve">S5-AUTO-015</t>
  </si>
  <si>
    <t xml:space="preserve">Integrator</t>
  </si>
  <si>
    <t xml:space="preserve">المُكامِل (شركة الدمج)</t>
  </si>
  <si>
    <t xml:space="preserve">IN-tuh-gray-ter</t>
  </si>
  <si>
    <t xml:space="preserve">A company that combines separate parts into a unified mechanical whole.</t>
  </si>
  <si>
    <t xml:space="preserve">The integrator installed and programmed the whole line.</t>
  </si>
  <si>
    <t xml:space="preserve">ركّب المُكامِل الخط بأكمله وبرمجه.</t>
  </si>
  <si>
    <t xml:space="preserve">We hired an integrator for the new robot cell.</t>
  </si>
  <si>
    <t xml:space="preserve">وظّفنا مُكامِلاً لخلية الروبوت الجديدة.</t>
  </si>
  <si>
    <t xml:space="preserve">S5-AUTO-016</t>
  </si>
  <si>
    <t xml:space="preserve">Load Cycle Time</t>
  </si>
  <si>
    <t xml:space="preserve">زمن دورة التحميل</t>
  </si>
  <si>
    <t xml:space="preserve">LOHD SY-kul TYME</t>
  </si>
  <si>
    <t xml:space="preserve">The total time to unload the last workpiece and load the next one on a production line.</t>
  </si>
  <si>
    <t xml:space="preserve">Load cycle time is how long it takes to swap workpieces.</t>
  </si>
  <si>
    <t xml:space="preserve">زمن دورة التحميل هو الوقت اللازم لتبديل قطع العمل.</t>
  </si>
  <si>
    <t xml:space="preserve">We reduced the load cycle time with a faster gripper.</t>
  </si>
  <si>
    <t xml:space="preserve">قللنا زمن دورة التحميل بقابض أسرع.</t>
  </si>
  <si>
    <t xml:space="preserve">S5-ROBT-005</t>
  </si>
  <si>
    <t xml:space="preserve">Material Processing Robot</t>
  </si>
  <si>
    <t xml:space="preserve">روبوت معالجة المواد</t>
  </si>
  <si>
    <t xml:space="preserve">muh-TEER-ee-ul PROS-es-ing ROH-bot</t>
  </si>
  <si>
    <t xml:space="preserve">A robot that machines, cuts, or reshapes materials between grasping and releasing them.</t>
  </si>
  <si>
    <t xml:space="preserve">A material processing robot can cut or shape a part.</t>
  </si>
  <si>
    <t xml:space="preserve">يستطيع روبوت معالجة المواد قص قطعة أو تشكيلها.</t>
  </si>
  <si>
    <t xml:space="preserve">The material processing robot polishes metal surfaces.</t>
  </si>
  <si>
    <t xml:space="preserve">يصقل روبوت معالجة المواد الأسطح المعدنية.</t>
  </si>
  <si>
    <t xml:space="preserve">S5-AUTO-017</t>
  </si>
  <si>
    <t xml:space="preserve">Mechanization</t>
  </si>
  <si>
    <t xml:space="preserve">المَكْنَنة</t>
  </si>
  <si>
    <t xml:space="preserve">mek-uh-ny-ZAY-shun</t>
  </si>
  <si>
    <t xml:space="preserve">Integrating machinery and equipment into manufacturing processes.</t>
  </si>
  <si>
    <t xml:space="preserve">Mechanization replaced hand tools with machines.</t>
  </si>
  <si>
    <t xml:space="preserve">حلّت المَكْنَنة الآلات محل الأدوات اليدوية.</t>
  </si>
  <si>
    <t xml:space="preserve">Mechanization was the first step before full automation.</t>
  </si>
  <si>
    <t xml:space="preserve">كانت المَكْنَنة الخطوة الأولى قبل الأتمتة الكاملة.</t>
  </si>
  <si>
    <t xml:space="preserve">S5-AUTO-019</t>
  </si>
  <si>
    <t xml:space="preserve">Robot System Integrator</t>
  </si>
  <si>
    <t xml:space="preserve">مُكامِل أنظمة الروبوت</t>
  </si>
  <si>
    <t xml:space="preserve">ROH-bot SIS-tum IN-tuh-gray-ter</t>
  </si>
  <si>
    <t xml:space="preserve">A business that merges robots, peripherals, and machinery into a single production system.</t>
  </si>
  <si>
    <t xml:space="preserve">A robot system integrator builds a complete robot cell.</t>
  </si>
  <si>
    <t xml:space="preserve">يبني مُكامِل أنظمة الروبوت خلية روبوت متكاملة.</t>
  </si>
  <si>
    <t xml:space="preserve">We asked a robot system integrator to design the line.</t>
  </si>
  <si>
    <t xml:space="preserve">طلبنا من مُكامِل أنظمة الروبوت تصميم الخط.</t>
  </si>
  <si>
    <t xml:space="preserve">S5-TOOL-003</t>
  </si>
  <si>
    <t xml:space="preserve">Robotic Deburring Tool</t>
  </si>
  <si>
    <t xml:space="preserve">أداة إزالة الزوائد الروبوتية</t>
  </si>
  <si>
    <t xml:space="preserve">roh-BOT-ik dee-BUR-ing TOOL</t>
  </si>
  <si>
    <t xml:space="preserve">A tool that removes burrs, sharp edges, or fins from metal parts.</t>
  </si>
  <si>
    <t xml:space="preserve">A robotic deburring tool removes sharp edges from metal parts.</t>
  </si>
  <si>
    <t xml:space="preserve">تزيل أداة إزالة الزوائد الروبوتية الحواف الحادة من القطع المعدنية.</t>
  </si>
  <si>
    <t xml:space="preserve">The deburring tool is mounted on the robot wrist.</t>
  </si>
  <si>
    <t xml:space="preserve">ركّبت أداة إزالة الزوائد على معصم الروبوت.</t>
  </si>
  <si>
    <t xml:space="preserve">S5-TOOL-005</t>
  </si>
  <si>
    <t xml:space="preserve">Robotic Tool Changer</t>
  </si>
  <si>
    <t xml:space="preserve">مُبدِّل الأدوات الروبوتي</t>
  </si>
  <si>
    <t xml:space="preserve">roh-BOT-ik TOOL CHAYN-jer</t>
  </si>
  <si>
    <t xml:space="preserve">Master and tool components that lock together automatically and pass utilities between them.</t>
  </si>
  <si>
    <t xml:space="preserve">The tool changer lets the robot swap tools automatically.</t>
  </si>
  <si>
    <t xml:space="preserve">يتيح مُبدِّل الأدوات للروبوت تبديل الأدوات تلقائياً.</t>
  </si>
  <si>
    <t xml:space="preserve">We installed a tool changer to use two grippers.</t>
  </si>
  <si>
    <t xml:space="preserve">ركّبنا مُبدِّل أدوات لاستخدام قابضين.</t>
  </si>
  <si>
    <t xml:space="preserve">S5-BUSQ-003</t>
  </si>
  <si>
    <t xml:space="preserve">ROI (Return on Investment)</t>
  </si>
  <si>
    <t xml:space="preserve">العائد على الاستثمار</t>
  </si>
  <si>
    <t xml:space="preserve">ar-oh-EYE</t>
  </si>
  <si>
    <t xml:space="preserve">A performance measure dividing an investment's return by its cost.</t>
  </si>
  <si>
    <t xml:space="preserve">The ROI of the robot was reached in two years.</t>
  </si>
  <si>
    <t xml:space="preserve">تحقق العائد على استثمار الروبوت خلال سنتين.</t>
  </si>
  <si>
    <t xml:space="preserve">Managers ask for the ROI before buying new equipment.</t>
  </si>
  <si>
    <t xml:space="preserve">يسأل المديرون عن العائد على الاستثمار قبل شراء معدات جديدة.</t>
  </si>
  <si>
    <t xml:space="preserve">S5-AUTO-020</t>
  </si>
  <si>
    <t xml:space="preserve">Systems Integrator</t>
  </si>
  <si>
    <t xml:space="preserve">مُكامِل الأنظمة</t>
  </si>
  <si>
    <t xml:space="preserve">SIS-tumz IN-tuh-gray-ter</t>
  </si>
  <si>
    <t xml:space="preserve">A company or person that integrates the parts of a robotic welding system.</t>
  </si>
  <si>
    <t xml:space="preserve">The systems integrator connected all the machines.</t>
  </si>
  <si>
    <t xml:space="preserve">ربط مُكامِل الأنظمة جميع الآلات.</t>
  </si>
  <si>
    <t xml:space="preserve">Our systems integrator trained the staff.</t>
  </si>
  <si>
    <t xml:space="preserve">درّب مُكامِل الأنظمة لدينا الموظفين.</t>
  </si>
  <si>
    <t xml:space="preserve">S5-BUSQ-004</t>
  </si>
  <si>
    <t xml:space="preserve">Turnkey Project</t>
  </si>
  <si>
    <t xml:space="preserve">مشروع تسليم مفتاح</t>
  </si>
  <si>
    <t xml:space="preserve">TURN-kee PROJ-ekt</t>
  </si>
  <si>
    <t xml:space="preserve">A project where one entity sets up equipment and brings it into operation.</t>
  </si>
  <si>
    <t xml:space="preserve">A turnkey project is delivered ready to use.</t>
  </si>
  <si>
    <t xml:space="preserve">يُسلَّم مشروع تسليم المفتاح جاهزاً للاستخدام.</t>
  </si>
  <si>
    <t xml:space="preserve">The supplier built the whole line as a turnkey project.</t>
  </si>
  <si>
    <t xml:space="preserve">بنى المورّد الخط بالكامل كمشروع تسليم مفتاح.</t>
  </si>
  <si>
    <t xml:space="preserve">S5-ACTU-001</t>
  </si>
  <si>
    <t xml:space="preserve">Variable Frequency Drive (VFD)</t>
  </si>
  <si>
    <t xml:space="preserve">محوّل التردد المتغير (انفرتر)</t>
  </si>
  <si>
    <t xml:space="preserve">VAIR-ee-uh-bul FREE-kwun-see DRYV</t>
  </si>
  <si>
    <t xml:space="preserve">A drive that controls AC motor speed and torque by varying supply frequency and voltage.</t>
  </si>
  <si>
    <t xml:space="preserve">A VFD changes the speed of an AC motor.</t>
  </si>
  <si>
    <t xml:space="preserve">يغيّر محوّل التردد المتغير سرعة محرك التيار المتردد.</t>
  </si>
  <si>
    <t xml:space="preserve">The pump uses a VFD to save energy.</t>
  </si>
  <si>
    <t xml:space="preserve">تستخدم المضخة محوّل تردد متغير لتوفير الطاقة.</t>
  </si>
  <si>
    <t xml:space="preserve">S5-SENS-001</t>
  </si>
  <si>
    <t xml:space="preserve">Vision Guided</t>
  </si>
  <si>
    <t xml:space="preserve">موجَّه بالرؤية</t>
  </si>
  <si>
    <t xml:space="preserve">VIZH-un GY-did</t>
  </si>
  <si>
    <t xml:space="preserve">A control system that alters the robot's trajectory in response to vision system input.</t>
  </si>
  <si>
    <t xml:space="preserve">A vision guided robot adjusts its path using a camera.</t>
  </si>
  <si>
    <t xml:space="preserve">يعدّل الروبوت الموجَّه بالرؤية مساره باستخدام كاميرا.</t>
  </si>
  <si>
    <t xml:space="preserve">Vision guided picking finds parts that are not aligned.</t>
  </si>
  <si>
    <t xml:space="preserve">يجد الالتقاط الموجَّه بالرؤية القطع غير المحاذاة.</t>
  </si>
  <si>
    <t xml:space="preserve">S5-AUTO-003</t>
  </si>
  <si>
    <t xml:space="preserve">Business Process Automation (BPA)</t>
  </si>
  <si>
    <t xml:space="preserve">أتمتة العمليات التجارية</t>
  </si>
  <si>
    <t xml:space="preserve">BIZ-nis PROS-es aw-tuh-MAY-shun</t>
  </si>
  <si>
    <t xml:space="preserve">Improving process efficiency with enterprise software while reducing worker involvement.</t>
  </si>
  <si>
    <t xml:space="preserve">Business process automation replaces repetitive office tasks with software.</t>
  </si>
  <si>
    <t xml:space="preserve">تستبدل أتمتة العمليات التجارية المهام المكتبية المتكررة ببرمجيات.</t>
  </si>
  <si>
    <t xml:space="preserve">BPA helped the company process invoices faster.</t>
  </si>
  <si>
    <t xml:space="preserve">ساعدت أتمتة العمليات التجارية الشركة على معالجة الفواتير بسرعة أكبر.</t>
  </si>
  <si>
    <t xml:space="preserve">S5-AUTO-005</t>
  </si>
  <si>
    <t xml:space="preserve">Direct Numerical Control (DNC)</t>
  </si>
  <si>
    <t xml:space="preserve">التحكم الرقمي المباشر</t>
  </si>
  <si>
    <t xml:space="preserve">dih-REKT noo-MER-ih-kul kun-TROHL</t>
  </si>
  <si>
    <t xml:space="preserve">Numerically controlled equipment that receives data inputs from a computer.</t>
  </si>
  <si>
    <t xml:space="preserve">DNC sends machining programs from a computer to the machine.</t>
  </si>
  <si>
    <t xml:space="preserve">ترسل منظومة DNC برامج التشغيل الآلي من حاسوب إلى الآلة.</t>
  </si>
  <si>
    <t xml:space="preserve">The shop uses DNC to manage many CNC machines.</t>
  </si>
  <si>
    <t xml:space="preserve">يستخدم الورشة DNC لإدارة عدة آلات CNC.</t>
  </si>
  <si>
    <t xml:space="preserve">S5-AUTO-006</t>
  </si>
  <si>
    <t xml:space="preserve">Drop Delivery</t>
  </si>
  <si>
    <t xml:space="preserve">التسليم بالإسقاط</t>
  </si>
  <si>
    <t xml:space="preserve">DROP dih-LIV-er-ee</t>
  </si>
  <si>
    <t xml:space="preserve">Introducing parts by gravity, so finished work falls into a chute or onto a conveyor with little robot transport.</t>
  </si>
  <si>
    <t xml:space="preserve">Drop delivery lets finished parts fall into a chute.</t>
  </si>
  <si>
    <t xml:space="preserve">يسمح التسليم بالإسقاط للقطع المنتهية بالسقوط في مجرى.</t>
  </si>
  <si>
    <t xml:space="preserve">Drop delivery saves robot time because there is no transfer.</t>
  </si>
  <si>
    <t xml:space="preserve">يوفر التسليم بالإسقاط وقت الروبوت لعدم وجود نقل.</t>
  </si>
  <si>
    <t xml:space="preserve">S5-TOOL-002</t>
  </si>
  <si>
    <t xml:space="preserve">Ladle Gripper</t>
  </si>
  <si>
    <t xml:space="preserve">قابض المغرفة</t>
  </si>
  <si>
    <t xml:space="preserve">LAY-dul GRIP-er</t>
  </si>
  <si>
    <t xml:space="preserve">An end-effector that scoops liquid, transfers it to a mold, and pours it, often for molten metal.</t>
  </si>
  <si>
    <t xml:space="preserve">A ladle gripper scoops liquid metal and pours it into a mold.</t>
  </si>
  <si>
    <t xml:space="preserve">يغرف قابض المغرفة المعدن المنصهر ويصبّه في قالب.</t>
  </si>
  <si>
    <t xml:space="preserve">The ladle gripper is used in foundries.</t>
  </si>
  <si>
    <t xml:space="preserve">يُستخدم قابض المغرفة في المسابك.</t>
  </si>
  <si>
    <t xml:space="preserve">S5-TOOL-004</t>
  </si>
  <si>
    <t xml:space="preserve">Robotic Rotary Joint</t>
  </si>
  <si>
    <t xml:space="preserve">وصلة دوّارة روبوتية</t>
  </si>
  <si>
    <t xml:space="preserve">roh-BOT-ik ROH-tuh-ree JOYNT</t>
  </si>
  <si>
    <t xml:space="preserve">A rotating connection that passes electrical and pneumatic lines through a slip ring while the tool turns.</t>
  </si>
  <si>
    <t xml:space="preserve">A robotic rotary joint passes air and power to a spinning tool.</t>
  </si>
  <si>
    <t xml:space="preserve">تمرر الوصلة الدوّارة الروبوتية الهواء والطاقة إلى أداة تدور.</t>
  </si>
  <si>
    <t xml:space="preserve">The rotary joint prevents the cables from twisting.</t>
  </si>
  <si>
    <t xml:space="preserve">تمنع الوصلة الدوّارة التفاف الكابلات.</t>
  </si>
  <si>
    <t xml:space="preserve">S5-BUSQ-005</t>
  </si>
  <si>
    <t xml:space="preserve">Work in Progress</t>
  </si>
  <si>
    <t xml:space="preserve">العمل قيد التنفيذ</t>
  </si>
  <si>
    <t xml:space="preserve">WURK in PROG-res</t>
  </si>
  <si>
    <t xml:space="preserve">An accounting term for the value of material continuously taken up by the work process.</t>
  </si>
  <si>
    <t xml:space="preserve">Work in progress is material that is already being processed.</t>
  </si>
  <si>
    <t xml:space="preserve">العمل قيد التنفيذ هو المواد التي تجري معالجتها بالفعل.</t>
  </si>
  <si>
    <t xml:space="preserve">We want to reduce work in progress on the line.</t>
  </si>
  <si>
    <t xml:space="preserve">نريد تقليل العمل قيد التنفيذ على الخط.</t>
  </si>
  <si>
    <t xml:space="preserve">S6-PROG-001</t>
  </si>
  <si>
    <t xml:space="preserve">Application Program</t>
  </si>
  <si>
    <t xml:space="preserve">برنامج التطبيق</t>
  </si>
  <si>
    <t xml:space="preserve">ap-lih-KAY-shun PROH-gram</t>
  </si>
  <si>
    <t xml:space="preserve">A sequence of instructions defining the jobs a robot performs, which owners can customize.</t>
  </si>
  <si>
    <t xml:space="preserve">The application program defines the welding sequence.</t>
  </si>
  <si>
    <t xml:space="preserve">يحدد برنامج التطبيق تسلسل اللحام.</t>
  </si>
  <si>
    <t xml:space="preserve">The customer changed the application program to handle a new part.</t>
  </si>
  <si>
    <t xml:space="preserve">غيّر العميل برنامج التطبيق ليتعامل مع قطعة جديدة.</t>
  </si>
  <si>
    <t xml:space="preserve">6 – Robot Operation | تشغيل الروبوتات</t>
  </si>
  <si>
    <t xml:space="preserve">S6-OPER-001</t>
  </si>
  <si>
    <t xml:space="preserve">Automatic Mode/Operation</t>
  </si>
  <si>
    <t xml:space="preserve">الوضع / التشغيل الآلي</t>
  </si>
  <si>
    <t xml:space="preserve">aw-tuh-MAT-ik MODE</t>
  </si>
  <si>
    <t xml:space="preserve">The state in which a robot runs its programmed jobs without worker involvement.</t>
  </si>
  <si>
    <t xml:space="preserve">In automatic mode the robot runs its program without help.</t>
  </si>
  <si>
    <t xml:space="preserve">في الوضع الآلي يشغّل الروبوت برنامجه دون مساعدة.</t>
  </si>
  <si>
    <t xml:space="preserve">Switch to automatic mode after the test is finished.</t>
  </si>
  <si>
    <t xml:space="preserve">انتقل إلى الوضع الآلي بعد انتهاء الاختبار.</t>
  </si>
  <si>
    <t xml:space="preserve">S6-SAFE-004</t>
  </si>
  <si>
    <t xml:space="preserve">Barrier</t>
  </si>
  <si>
    <t xml:space="preserve">حاجز</t>
  </si>
  <si>
    <t xml:space="preserve">BAIR-ee-er</t>
  </si>
  <si>
    <t xml:space="preserve">Safety</t>
  </si>
  <si>
    <t xml:space="preserve">A physical structure that keeps people out of a restricted area.</t>
  </si>
  <si>
    <t xml:space="preserve">A barrier keeps people out of the robot area.</t>
  </si>
  <si>
    <t xml:space="preserve">يمنع الحاجز الناس من دخول منطقة الروبوت.</t>
  </si>
  <si>
    <t xml:space="preserve">We installed a barrier around the welding cell.</t>
  </si>
  <si>
    <t xml:space="preserve">ركّبنا حاجزاً حول خلية اللحام.</t>
  </si>
  <si>
    <t xml:space="preserve">S6-SAFE-005</t>
  </si>
  <si>
    <t xml:space="preserve">Control Device</t>
  </si>
  <si>
    <t xml:space="preserve">جهاز التحكم</t>
  </si>
  <si>
    <t xml:space="preserve">kun-TROHL dih-VYSE</t>
  </si>
  <si>
    <t xml:space="preserve">Hardware that enables human intervention, such as an emergency-stop button, start button, or selector switch.</t>
  </si>
  <si>
    <t xml:space="preserve">The emergency stop button is a control device.</t>
  </si>
  <si>
    <t xml:space="preserve">زر إيقاف الطوارئ جهاز تحكم.</t>
  </si>
  <si>
    <t xml:space="preserve">A selector switch is another control device on the panel.</t>
  </si>
  <si>
    <t xml:space="preserve">مفتاح الاختيار جهاز تحكم آخر على اللوحة.</t>
  </si>
  <si>
    <t xml:space="preserve">S6-OPER-002</t>
  </si>
  <si>
    <t xml:space="preserve">Control Mode</t>
  </si>
  <si>
    <t xml:space="preserve">نمط التحكم</t>
  </si>
  <si>
    <t xml:space="preserve">kun-TROHL MODE</t>
  </si>
  <si>
    <t xml:space="preserve">The method by which instructions are communicated to the robot.</t>
  </si>
  <si>
    <t xml:space="preserve">Change the control mode from manual to automatic.</t>
  </si>
  <si>
    <t xml:space="preserve">غيّر نمط التحكم من يدوي إلى آلي.</t>
  </si>
  <si>
    <t xml:space="preserve">The control mode decides how commands are given to the robot.</t>
  </si>
  <si>
    <t xml:space="preserve">يحدد نمط التحكم كيف تُعطى الأوامر للروبوت.</t>
  </si>
  <si>
    <t xml:space="preserve">S6-SAFE-007</t>
  </si>
  <si>
    <t xml:space="preserve">Emergency Stop (ESTOP)</t>
  </si>
  <si>
    <t xml:space="preserve">إيقاف الطوارئ</t>
  </si>
  <si>
    <t xml:space="preserve">ih-MUR-jun-see STOP</t>
  </si>
  <si>
    <t xml:space="preserve">A hardware circuit that overrides all controls and cuts drive power so all moving parts stop.</t>
  </si>
  <si>
    <t xml:space="preserve">Press the emergency stop if anything goes wrong.</t>
  </si>
  <si>
    <t xml:space="preserve">اضغط زر إيقاف الطوارئ إذا حدث أي خطأ.</t>
  </si>
  <si>
    <t xml:space="preserve">The emergency stop cuts power to all moving parts.</t>
  </si>
  <si>
    <t xml:space="preserve">يقطع إيقاف الطوارئ الطاقة عن جميع الأجزاء المتحركة.</t>
  </si>
  <si>
    <t xml:space="preserve">S7-INTV-012; S7-TRBL-005</t>
  </si>
  <si>
    <t xml:space="preserve">S6-SAFE-009</t>
  </si>
  <si>
    <t xml:space="preserve">Hazard</t>
  </si>
  <si>
    <t xml:space="preserve">خطر</t>
  </si>
  <si>
    <t xml:space="preserve">HAZ-erd</t>
  </si>
  <si>
    <t xml:space="preserve">A possible dangerous or harmful situation.</t>
  </si>
  <si>
    <t xml:space="preserve">A moving robot arm is a hazard for people nearby.</t>
  </si>
  <si>
    <t xml:space="preserve">الذراع الآلية المتحركة خطر على الأشخاص القريبين.</t>
  </si>
  <si>
    <t xml:space="preserve">We checked every hazard before starting the work.</t>
  </si>
  <si>
    <t xml:space="preserve">فحصنا كل خطر قبل بدء العمل.</t>
  </si>
  <si>
    <t xml:space="preserve">S6-OPER-004</t>
  </si>
  <si>
    <t xml:space="preserve">Home Position</t>
  </si>
  <si>
    <t xml:space="preserve">وضع البداية / الصفر</t>
  </si>
  <si>
    <t xml:space="preserve">HOHM puh-ZISH-un</t>
  </si>
  <si>
    <t xml:space="preserve">A known, fixed rest location or zero position for each axis, specific to each manipulator model.</t>
  </si>
  <si>
    <t xml:space="preserve">Move the robot to the home position before turning it off.</t>
  </si>
  <si>
    <t xml:space="preserve">حرّك الروبوت إلى وضع البداية قبل إطفائه.</t>
  </si>
  <si>
    <t xml:space="preserve">The home position is the zero point of every axis.</t>
  </si>
  <si>
    <t xml:space="preserve">وضع البداية هو نقطة الصفر لكل محور.</t>
  </si>
  <si>
    <t xml:space="preserve">S6-PROG-002</t>
  </si>
  <si>
    <t xml:space="preserve">Manual Programming</t>
  </si>
  <si>
    <t xml:space="preserve">البرمجة اليدوية</t>
  </si>
  <si>
    <t xml:space="preserve">MAN-yoo-ul PROH-gram-ing</t>
  </si>
  <si>
    <t xml:space="preserve">Physically setting tasks and limits on the robot.</t>
  </si>
  <si>
    <t xml:space="preserve">Manual programming means setting the positions by hand.</t>
  </si>
  <si>
    <t xml:space="preserve">تعني البرمجة اليدوية ضبط المواضع باليد.</t>
  </si>
  <si>
    <t xml:space="preserve">He learned manual programming on the teach pendant.</t>
  </si>
  <si>
    <t xml:space="preserve">تعلّم البرمجة اليدوية على وحدة التعليم.</t>
  </si>
  <si>
    <t xml:space="preserve">S6-OPER-005</t>
  </si>
  <si>
    <t xml:space="preserve">Operator</t>
  </si>
  <si>
    <t xml:space="preserve">المُشغِّل</t>
  </si>
  <si>
    <t xml:space="preserve">OP-er-ay-ter</t>
  </si>
  <si>
    <t xml:space="preserve">The person who starts, monitors, and stops robot operations.</t>
  </si>
  <si>
    <t xml:space="preserve">The operator starts and stops the robot.</t>
  </si>
  <si>
    <t xml:space="preserve">يشغّل المشغّل الروبوت ويوقفه.</t>
  </si>
  <si>
    <t xml:space="preserve">Only a trained operator may use the teach pendant.</t>
  </si>
  <si>
    <t xml:space="preserve">لا يجوز إلا لمشغّل مدرَّب استخدام وحدة التعليم.</t>
  </si>
  <si>
    <t xml:space="preserve">S6-SPEC-003</t>
  </si>
  <si>
    <t xml:space="preserve">Reach</t>
  </si>
  <si>
    <t xml:space="preserve">مدى الوصول</t>
  </si>
  <si>
    <t xml:space="preserve">REECH</t>
  </si>
  <si>
    <t xml:space="preserve">The distance from the robot's center to the fullest extension of its arm.</t>
  </si>
  <si>
    <t xml:space="preserve">The reach of this robot is 1.4 meters.</t>
  </si>
  <si>
    <t xml:space="preserve">مدى وصول هذا الروبوت 1.4 متر.</t>
  </si>
  <si>
    <t xml:space="preserve">Choose a robot with enough reach for the table.</t>
  </si>
  <si>
    <t xml:space="preserve">اختر روبوتاً بمدى وصول كافٍ للطاولة.</t>
  </si>
  <si>
    <t xml:space="preserve">S6-SAFE-018</t>
  </si>
  <si>
    <t xml:space="preserve">Safeguard</t>
  </si>
  <si>
    <t xml:space="preserve">وسيلة حماية</t>
  </si>
  <si>
    <t xml:space="preserve">SAYF-gard</t>
  </si>
  <si>
    <t xml:space="preserve">A barrier, guard, device, or safety procedure that protects personnel.</t>
  </si>
  <si>
    <t xml:space="preserve">A safety fence is a safeguard around the robot.</t>
  </si>
  <si>
    <t xml:space="preserve">السياج الواقي وسيلة حماية حول الروبوت.</t>
  </si>
  <si>
    <t xml:space="preserve">Never remove a safeguard while the robot is running.</t>
  </si>
  <si>
    <t xml:space="preserve">لا تزل وسيلة الحماية أثناء عمل الروبوت أبداً.</t>
  </si>
  <si>
    <t xml:space="preserve">S7-INTV-019; S7-TRBL-005</t>
  </si>
  <si>
    <t xml:space="preserve">S6-SAFE-019</t>
  </si>
  <si>
    <t xml:space="preserve">Safety Procedure</t>
  </si>
  <si>
    <t xml:space="preserve">إجراء السلامة</t>
  </si>
  <si>
    <t xml:space="preserve">SAYF-tee pruh-SEE-jer</t>
  </si>
  <si>
    <t xml:space="preserve">A set of instructions for avoiding harmful or dangerous situations.</t>
  </si>
  <si>
    <t xml:space="preserve">Follow the safety procedure before entering the cell.</t>
  </si>
  <si>
    <t xml:space="preserve">اتبع إجراء السلامة قبل دخول الخلية.</t>
  </si>
  <si>
    <t xml:space="preserve">Every worker must learn the safety procedure.</t>
  </si>
  <si>
    <t xml:space="preserve">يجب أن يتعلم كل عامل إجراء السلامة.</t>
  </si>
  <si>
    <t xml:space="preserve">S7-INTV-019</t>
  </si>
  <si>
    <t xml:space="preserve">S6-SWDS-002</t>
  </si>
  <si>
    <t xml:space="preserve">Simulation</t>
  </si>
  <si>
    <t xml:space="preserve">المحاكاة</t>
  </si>
  <si>
    <t xml:space="preserve">sim-yuh-LAY-shun</t>
  </si>
  <si>
    <t xml:space="preserve">A graphical program that emulates the robot and its environment to predict behavior before real commands run.</t>
  </si>
  <si>
    <t xml:space="preserve">We ran a simulation before building the machine.</t>
  </si>
  <si>
    <t xml:space="preserve">شغّلنا محاكاة قبل بناء الآلة.</t>
  </si>
  <si>
    <t xml:space="preserve">The simulation predicted the robot's behavior.</t>
  </si>
  <si>
    <t xml:space="preserve">توقعت المحاكاة سلوك الروبوت.</t>
  </si>
  <si>
    <t xml:space="preserve">S6-OPER-007</t>
  </si>
  <si>
    <t xml:space="preserve">Start-Up</t>
  </si>
  <si>
    <t xml:space="preserve">بدء التشغيل</t>
  </si>
  <si>
    <t xml:space="preserve">START-up</t>
  </si>
  <si>
    <t xml:space="preserve">Supplying power to a robot or system to begin operations.</t>
  </si>
  <si>
    <t xml:space="preserve">Check the air pressure during start-up.</t>
  </si>
  <si>
    <t xml:space="preserve">تحقق من ضغط الهواء أثناء بدء التشغيل.</t>
  </si>
  <si>
    <t xml:space="preserve">The start-up of the new line went well.</t>
  </si>
  <si>
    <t xml:space="preserve">سار بدء تشغيل الخط الجديد بشكل جيد.</t>
  </si>
  <si>
    <t xml:space="preserve">S6-PROG-007</t>
  </si>
  <si>
    <t xml:space="preserve">Teach</t>
  </si>
  <si>
    <t xml:space="preserve">التعليم</t>
  </si>
  <si>
    <t xml:space="preserve">TEECH</t>
  </si>
  <si>
    <t xml:space="preserve">Programming a manipulator by guiding it manually through motions and recording positions for playback.</t>
  </si>
  <si>
    <t xml:space="preserve">We teach the robot each point by moving it by hand.</t>
  </si>
  <si>
    <t xml:space="preserve">نعلّم الروبوت كل نقطة بتحريكه يدوياً.</t>
  </si>
  <si>
    <t xml:space="preserve">Teach the pick position first, then the place position.</t>
  </si>
  <si>
    <t xml:space="preserve">علّم موضع الالتقاط أولاً ثم موضع الوضع.</t>
  </si>
  <si>
    <t xml:space="preserve">S6-OPER-008</t>
  </si>
  <si>
    <t xml:space="preserve">Teach Mode</t>
  </si>
  <si>
    <t xml:space="preserve">وضع التعليم</t>
  </si>
  <si>
    <t xml:space="preserve">TEECH MODE</t>
  </si>
  <si>
    <t xml:space="preserve">A control state for generating and storing positional data as the arm moves along a path.</t>
  </si>
  <si>
    <t xml:space="preserve">Switch the robot to teach mode before programming.</t>
  </si>
  <si>
    <t xml:space="preserve">حوّل الروبوت إلى وضع التعليم قبل البرمجة.</t>
  </si>
  <si>
    <t xml:space="preserve">In teach mode the robot moves at a safe low speed.</t>
  </si>
  <si>
    <t xml:space="preserve">في وضع التعليم يتحرك الروبوت بسرعة منخفضة آمنة.</t>
  </si>
  <si>
    <t xml:space="preserve">S6-OPER-009</t>
  </si>
  <si>
    <t xml:space="preserve">Teach Pendant</t>
  </si>
  <si>
    <t xml:space="preserve">وحدة التعليم اليدوية</t>
  </si>
  <si>
    <t xml:space="preserve">TEECH PEN-dunt</t>
  </si>
  <si>
    <t xml:space="preserve">A handheld control box used to guide a robot through task motions, which are then recorded.</t>
  </si>
  <si>
    <t xml:space="preserve">The teach pendant lets you move and program the robot.</t>
  </si>
  <si>
    <t xml:space="preserve">تتيح لك وحدة التعليم تحريك الروبوت وبرمجته.</t>
  </si>
  <si>
    <t xml:space="preserve">Always hold the pendant when you are inside the cell.</t>
  </si>
  <si>
    <t xml:space="preserve">أمسك وحدة التعليم دائماً عندما تكون داخل الخلية.</t>
  </si>
  <si>
    <t xml:space="preserve">S6-SAFE-003</t>
  </si>
  <si>
    <t xml:space="preserve">Awareness Barrier/Signal</t>
  </si>
  <si>
    <t xml:space="preserve">حاجز / إشارة تنبيه</t>
  </si>
  <si>
    <t xml:space="preserve">uh-WAIR-nus BAR-ee-er</t>
  </si>
  <si>
    <t xml:space="preserve">A barrier or light or sound cue that warns people when a hazard is nearby.</t>
  </si>
  <si>
    <t xml:space="preserve">An awareness barrier warns people that a robot is working nearby.</t>
  </si>
  <si>
    <t xml:space="preserve">ينبّه حاجز التنبيه الناس إلى أن روبوتاً يعمل بالقرب.</t>
  </si>
  <si>
    <t xml:space="preserve">A flashing light is used as an awareness signal around the cell.</t>
  </si>
  <si>
    <t xml:space="preserve">يُستخدم ضوء وامض كإشارة تنبيه حول الخلية.</t>
  </si>
  <si>
    <t xml:space="preserve">S6-SENS-001</t>
  </si>
  <si>
    <t xml:space="preserve">Collision Sensor</t>
  </si>
  <si>
    <t xml:space="preserve">حساس التصادم</t>
  </si>
  <si>
    <t xml:space="preserve">kuh-LIZH-un SEN-ser</t>
  </si>
  <si>
    <t xml:space="preserve">A sensor that tells the controller to stop the robot before or during a crash.</t>
  </si>
  <si>
    <t xml:space="preserve">The collision sensor stops the robot if it hits something.</t>
  </si>
  <si>
    <t xml:space="preserve">يوقف حساس التصادم الروبوت إذا اصطدم بشيء.</t>
  </si>
  <si>
    <t xml:space="preserve">The tool was saved by the collision sensor during the crash.</t>
  </si>
  <si>
    <t xml:space="preserve">أنقذ حساس التصادم الأداة أثناء الاصطدام.</t>
  </si>
  <si>
    <t xml:space="preserve">S6-SAFE-006</t>
  </si>
  <si>
    <t xml:space="preserve">Dead Man Switch</t>
  </si>
  <si>
    <t xml:space="preserve">مفتاح الرجل الميت</t>
  </si>
  <si>
    <t xml:space="preserve">DED MAN SWICH</t>
  </si>
  <si>
    <t xml:space="preserve">Another name for an enabling device.</t>
  </si>
  <si>
    <t xml:space="preserve">The dead man switch must be held down while the robot moves.</t>
  </si>
  <si>
    <t xml:space="preserve">يجب إبقاء مفتاح الرجل الميت مضغوطاً أثناء حركة الروبوت.</t>
  </si>
  <si>
    <t xml:space="preserve">If you release the dead man switch, the robot stops.</t>
  </si>
  <si>
    <t xml:space="preserve">إذا تركت مفتاح الرجل الميت يتوقف الروبوت.</t>
  </si>
  <si>
    <t xml:space="preserve">S7-INTV-012</t>
  </si>
  <si>
    <t xml:space="preserve">S6-SAFE-008</t>
  </si>
  <si>
    <t xml:space="preserve">Enabling Device</t>
  </si>
  <si>
    <t xml:space="preserve">جهاز التمكين</t>
  </si>
  <si>
    <t xml:space="preserve">ih-NAY-bling dih-VYSE</t>
  </si>
  <si>
    <t xml:space="preserve">A manually operated device that permits motion only while continuously held; releasing it stops hazardous motion.</t>
  </si>
  <si>
    <t xml:space="preserve">An enabling device allows motion only while it is held.</t>
  </si>
  <si>
    <t xml:space="preserve">يسمح جهاز التمكين بالحركة فقط أثناء الضغط عليه.</t>
  </si>
  <si>
    <t xml:space="preserve">The enabling device on the pendant is a three-position switch.</t>
  </si>
  <si>
    <t xml:space="preserve">جهاز التمكين على وحدة التعليم مفتاح ثلاثي الأوضاع.</t>
  </si>
  <si>
    <t xml:space="preserve">S6-SAFE-010</t>
  </si>
  <si>
    <t xml:space="preserve">Hazardous Motion</t>
  </si>
  <si>
    <t xml:space="preserve">حركة خطرة</t>
  </si>
  <si>
    <t xml:space="preserve">HAZ-er-dus MOH-shun</t>
  </si>
  <si>
    <t xml:space="preserve">Unintended or unexpected robot motion that may cause injury.</t>
  </si>
  <si>
    <t xml:space="preserve">Hazardous motion can hurt people near the robot.</t>
  </si>
  <si>
    <t xml:space="preserve">قد تؤذي الحركة الخطرة الأشخاص القريبين من الروبوت.</t>
  </si>
  <si>
    <t xml:space="preserve">The enabling switch stops hazardous motion when released.</t>
  </si>
  <si>
    <t xml:space="preserve">يوقف مفتاح التمكين الحركة الخطرة عند تركه.</t>
  </si>
  <si>
    <t xml:space="preserve">S6-OPER-003</t>
  </si>
  <si>
    <t xml:space="preserve">Hold</t>
  </si>
  <si>
    <t xml:space="preserve">إيقاف مؤقت</t>
  </si>
  <si>
    <t xml:space="preserve">HOHLD</t>
  </si>
  <si>
    <t xml:space="preserve">Stopping all robot movement mid-sequence while keeping power on so operation can resume.</t>
  </si>
  <si>
    <t xml:space="preserve">Press hold to pause the robot but keep the power on.</t>
  </si>
  <si>
    <t xml:space="preserve">اضغط إيقاف مؤقت لإيقاف الروبوت مع إبقاء الطاقة.</t>
  </si>
  <si>
    <t xml:space="preserve">After the hold, the program can continue from the same step.</t>
  </si>
  <si>
    <t xml:space="preserve">بعد الإيقاف المؤقت يمكن للبرنامج المتابعة من الخطوة نفسها.</t>
  </si>
  <si>
    <t xml:space="preserve">S6-MOTN-001</t>
  </si>
  <si>
    <t xml:space="preserve">Homing</t>
  </si>
  <si>
    <t xml:space="preserve">العودة إلى المرجع (التصفير)</t>
  </si>
  <si>
    <t xml:space="preserve">HOH-ming</t>
  </si>
  <si>
    <t xml:space="preserve">A routine that moves an axis to a known reference position, required after power-up for incremental encoders.</t>
  </si>
  <si>
    <t xml:space="preserve">Homing moves each axis to its reference position after power-up.</t>
  </si>
  <si>
    <t xml:space="preserve">يحرّك التصفير كل محور إلى موضعه المرجعي بعد التشغيل.</t>
  </si>
  <si>
    <t xml:space="preserve">The machine must complete homing before it starts a job.</t>
  </si>
  <si>
    <t xml:space="preserve">يجب أن تُكمل الآلة التصفير قبل بدء العمل.</t>
  </si>
  <si>
    <t xml:space="preserve">S7-INTV-007; S7-INTV-017; S7-TRBL-001; S7-TRBL-010</t>
  </si>
  <si>
    <t xml:space="preserve">S6-SAFE-011</t>
  </si>
  <si>
    <t xml:space="preserve">Interlock</t>
  </si>
  <si>
    <t xml:space="preserve">التعشيق / القفل البيني</t>
  </si>
  <si>
    <t xml:space="preserve">IN-ter-lok</t>
  </si>
  <si>
    <t xml:space="preserve">Making a device's starting or stopping depend on another device's action.</t>
  </si>
  <si>
    <t xml:space="preserve">An interlock stops the robot when the door is opened.</t>
  </si>
  <si>
    <t xml:space="preserve">يوقف القفل البيني الروبوت عند فتح الباب.</t>
  </si>
  <si>
    <t xml:space="preserve">Never bypass a safety interlock.</t>
  </si>
  <si>
    <t xml:space="preserve">لا تتجاوز أبداً قفل السلامة البيني.</t>
  </si>
  <si>
    <t xml:space="preserve">S6-SPEC-001</t>
  </si>
  <si>
    <t xml:space="preserve">IP Rating</t>
  </si>
  <si>
    <t xml:space="preserve">تصنيف الحماية IP</t>
  </si>
  <si>
    <t xml:space="preserve">EYE-PEE RAY-ting</t>
  </si>
  <si>
    <t xml:space="preserve">A two-digit code rating resistance to solid particles and liquids, guiding equipment selection for harsh environments.</t>
  </si>
  <si>
    <t xml:space="preserve">The sensor has an IP67 rating, so it is dust-tight and water-resistant.</t>
  </si>
  <si>
    <t xml:space="preserve">للحساس تصنيف IP67 فهو محكم ضد الغبار ومقاوم للماء.</t>
  </si>
  <si>
    <t xml:space="preserve">Choose a higher IP rating for a washdown area.</t>
  </si>
  <si>
    <t xml:space="preserve">اختر تصنيف IP أعلى لمنطقة الغسل.</t>
  </si>
  <si>
    <t xml:space="preserve">S6-SAFE-012</t>
  </si>
  <si>
    <t xml:space="preserve">Limiting Device</t>
  </si>
  <si>
    <t xml:space="preserve">جهاز تحديد</t>
  </si>
  <si>
    <t xml:space="preserve">LIM-ih-ting dih-VYSE</t>
  </si>
  <si>
    <t xml:space="preserve">A separate apparatus that restricts the maximum envelope by stopping robot motion.</t>
  </si>
  <si>
    <t xml:space="preserve">A limiting device stops the robot at the edge of its area.</t>
  </si>
  <si>
    <t xml:space="preserve">يوقف جهاز التحديد الروبوت عند حافة منطقته.</t>
  </si>
  <si>
    <t xml:space="preserve">The limiting device protects the operator from the arm.</t>
  </si>
  <si>
    <t xml:space="preserve">يحمي جهاز التحديد المشغّل من الذراع.</t>
  </si>
  <si>
    <t xml:space="preserve">S6-PROG-003</t>
  </si>
  <si>
    <t xml:space="preserve">Off-Line Programming</t>
  </si>
  <si>
    <t xml:space="preserve">البرمجة دون اتصال</t>
  </si>
  <si>
    <t xml:space="preserve">OF-lyne PROH-gram-ing</t>
  </si>
  <si>
    <t xml:space="preserve">Storing robot procedures on a separate computer and loading them into the robot later.</t>
  </si>
  <si>
    <t xml:space="preserve">Off-line programming lets us write the program on a PC.</t>
  </si>
  <si>
    <t xml:space="preserve">تتيح البرمجة دون اتصال كتابة البرنامج على حاسوب شخصي.</t>
  </si>
  <si>
    <t xml:space="preserve">Off-line programming saved production time.</t>
  </si>
  <si>
    <t xml:space="preserve">وفّرت البرمجة دون اتصال وقت الإنتاج.</t>
  </si>
  <si>
    <t xml:space="preserve">S6-PROG-004</t>
  </si>
  <si>
    <t xml:space="preserve">On-Line Programming</t>
  </si>
  <si>
    <t xml:space="preserve">البرمجة أثناء التشغيل</t>
  </si>
  <si>
    <t xml:space="preserve">ON-lyne PROH-gram-ing</t>
  </si>
  <si>
    <t xml:space="preserve">Programming a robot while it is operating, so production stays productive.</t>
  </si>
  <si>
    <t xml:space="preserve">On-line programming is done directly on the robot.</t>
  </si>
  <si>
    <t xml:space="preserve">تُنفَّذ البرمجة أثناء التشغيل مباشرة على الروبوت.</t>
  </si>
  <si>
    <t xml:space="preserve">On-line programming needs the line to stop for a while.</t>
  </si>
  <si>
    <t xml:space="preserve">تتطلب البرمجة أثناء التشغيل إيقاف الخط لبعض الوقت.</t>
  </si>
  <si>
    <t xml:space="preserve">S6-SPEC-002</t>
  </si>
  <si>
    <t xml:space="preserve">Payload – Maximum</t>
  </si>
  <si>
    <t xml:space="preserve">الحمولة القصوى</t>
  </si>
  <si>
    <t xml:space="preserve">PAY-lohd MAK-sih-mum</t>
  </si>
  <si>
    <t xml:space="preserve">The greatest mass the robot can handle at a specified speed, acceleration, and repeatability, measured in kilograms.</t>
  </si>
  <si>
    <t xml:space="preserve">The maximum payload of this robot is 20 kilograms.</t>
  </si>
  <si>
    <t xml:space="preserve">أقصى حمولة لهذا الروبوت 20 كيلوغراماً.</t>
  </si>
  <si>
    <t xml:space="preserve">Do not exceed the maximum payload.</t>
  </si>
  <si>
    <t xml:space="preserve">لا تتجاوز أقصى حمولة.</t>
  </si>
  <si>
    <t xml:space="preserve">S7-TRBL-003</t>
  </si>
  <si>
    <t xml:space="preserve">S6-PROG-005</t>
  </si>
  <si>
    <t xml:space="preserve">Pendant Teaching</t>
  </si>
  <si>
    <t xml:space="preserve">التعليم بوحدة التحكم اليدوية</t>
  </si>
  <si>
    <t xml:space="preserve">PEN-dunt TEE-ching</t>
  </si>
  <si>
    <t xml:space="preserve">Recording positions as the robot is guided manually along a path, then storing them for replay.</t>
  </si>
  <si>
    <t xml:space="preserve">With pendant teaching, we guide the robot and save each position.</t>
  </si>
  <si>
    <t xml:space="preserve">بالتعليم بوحدة التحكم نوجّه الروبوت ونحفظ كل موضع.</t>
  </si>
  <si>
    <t xml:space="preserve">Pendant teaching is quick for simple paths.</t>
  </si>
  <si>
    <t xml:space="preserve">التعليم بوحدة التحكم سريع للمسارات البسيطة.</t>
  </si>
  <si>
    <t xml:space="preserve">S6-ROBT-001</t>
  </si>
  <si>
    <t xml:space="preserve">Record-Playback Robot</t>
  </si>
  <si>
    <t xml:space="preserve">روبوت التسجيل والإعادة</t>
  </si>
  <si>
    <t xml:space="preserve">REK-urd PLAY-bak ROH-bot</t>
  </si>
  <si>
    <t xml:space="preserve">A manipulator that stores joint encoder values while being moved, then replays them.</t>
  </si>
  <si>
    <t xml:space="preserve">A record-playback robot repeats the motions it recorded.</t>
  </si>
  <si>
    <t xml:space="preserve">يكرر روبوت التسجيل والإعادة الحركات التي سجّلها.</t>
  </si>
  <si>
    <t xml:space="preserve">The operator moved the arm by hand and the record-playback robot repeated it.</t>
  </si>
  <si>
    <t xml:space="preserve">حرّك المشغّل الذراع يدوياً فكرر روبوت التسجيل والإعادة الحركة.</t>
  </si>
  <si>
    <t xml:space="preserve">S6-PROG-006</t>
  </si>
  <si>
    <t xml:space="preserve">Robot Programming Language</t>
  </si>
  <si>
    <t xml:space="preserve">لغة برمجة الروبوت</t>
  </si>
  <si>
    <t xml:space="preserve">ROH-bot PROH-gram-ing LANG-gwij</t>
  </si>
  <si>
    <t xml:space="preserve">An interface that relates human commands to robot actions.</t>
  </si>
  <si>
    <t xml:space="preserve">Each manufacturer has its own robot programming language.</t>
  </si>
  <si>
    <t xml:space="preserve">لكل شركة مصنّعة لغة برمجة روبوت خاصة بها.</t>
  </si>
  <si>
    <t xml:space="preserve">He is learning a new robot programming language.</t>
  </si>
  <si>
    <t xml:space="preserve">يتعلم لغة برمجة روبوت جديدة.</t>
  </si>
  <si>
    <t xml:space="preserve">S6-SWDS-001</t>
  </si>
  <si>
    <t xml:space="preserve">Robot Simulation</t>
  </si>
  <si>
    <t xml:space="preserve">محاكاة الروبوت</t>
  </si>
  <si>
    <t xml:space="preserve">ROH-bot sim-yuh-LAY-shun</t>
  </si>
  <si>
    <t xml:space="preserve">A model that emulates and predicts a robotic system's behavior.</t>
  </si>
  <si>
    <t xml:space="preserve">Robot simulation lets us test the program before real use.</t>
  </si>
  <si>
    <t xml:space="preserve">تتيح محاكاة الروبوت اختبار البرنامج قبل الاستخدام الفعلي.</t>
  </si>
  <si>
    <t xml:space="preserve">The simulation showed a collision in the path.</t>
  </si>
  <si>
    <t xml:space="preserve">أظهرت المحاكاة تصادماً في المسار.</t>
  </si>
  <si>
    <t xml:space="preserve">S6-SAFE-020</t>
  </si>
  <si>
    <t xml:space="preserve">Slow Speed Control</t>
  </si>
  <si>
    <t xml:space="preserve">التحكم بالسرعة البطيئة</t>
  </si>
  <si>
    <t xml:space="preserve">SLOH SPEED kun-TROHL</t>
  </si>
  <si>
    <t xml:space="preserve">Reducing robot velocity so a user can safely remove material or stop motion.</t>
  </si>
  <si>
    <t xml:space="preserve">Slow speed control reduces robot speed so people can work safely.</t>
  </si>
  <si>
    <t xml:space="preserve">يخفض التحكم بالسرعة البطيئة سرعة الروبوت ليعمل الناس بأمان.</t>
  </si>
  <si>
    <t xml:space="preserve">Use slow speed control while teaching new points.</t>
  </si>
  <si>
    <t xml:space="preserve">استخدم التحكم بالسرعة البطيئة أثناء تعليم نقاط جديدة.</t>
  </si>
  <si>
    <t xml:space="preserve">S6-OPER-010</t>
  </si>
  <si>
    <t xml:space="preserve">Trigger Point</t>
  </si>
  <si>
    <t xml:space="preserve">نقطة الإطلاق</t>
  </si>
  <si>
    <t xml:space="preserve">TRIG-er POYNT</t>
  </si>
  <si>
    <t xml:space="preserve">The moment a component changes state.</t>
  </si>
  <si>
    <t xml:space="preserve">The sensor reaches its trigger point and sends a signal.</t>
  </si>
  <si>
    <t xml:space="preserve">يصل الحساس إلى نقطة الإطلاق ويرسل إشارة.</t>
  </si>
  <si>
    <t xml:space="preserve">Set the trigger point at 50 millimeters.</t>
  </si>
  <si>
    <t xml:space="preserve">اضبط نقطة الإطلاق عند 50 ملم.</t>
  </si>
  <si>
    <t xml:space="preserve">S6-SPEC-004</t>
  </si>
  <si>
    <t xml:space="preserve">Vertical Stroke</t>
  </si>
  <si>
    <t xml:space="preserve">الشوط الرأسي</t>
  </si>
  <si>
    <t xml:space="preserve">VUR-tih-kul STROHK</t>
  </si>
  <si>
    <t xml:space="preserve">The vertical distance a robot arm travels between two elevations.</t>
  </si>
  <si>
    <t xml:space="preserve">The vertical stroke is the up-and-down travel of the arm.</t>
  </si>
  <si>
    <t xml:space="preserve">الشوط الرأسي هو مسافة حركة الذراع للأعلى والأسفل.</t>
  </si>
  <si>
    <t xml:space="preserve">This robot has a vertical stroke of 200 mm.</t>
  </si>
  <si>
    <t xml:space="preserve">لهذا الروبوت شوط رأسي مقداره 200 ملم.</t>
  </si>
  <si>
    <t xml:space="preserve">S6-SPEC-005</t>
  </si>
  <si>
    <t xml:space="preserve">Work Envelope</t>
  </si>
  <si>
    <t xml:space="preserve">غلاف العمل</t>
  </si>
  <si>
    <t xml:space="preserve">WURK EN-vuh-lohp</t>
  </si>
  <si>
    <t xml:space="preserve">The set of all points a manipulator can reach without interference.</t>
  </si>
  <si>
    <t xml:space="preserve">The work envelope is all the points the arm can reach.</t>
  </si>
  <si>
    <t xml:space="preserve">غلاف العمل هو جميع النقاط التي تصلها الذراع.</t>
  </si>
  <si>
    <t xml:space="preserve">Keep the fixture inside the work envelope.</t>
  </si>
  <si>
    <t xml:space="preserve">أبقِ أداة التثبيت داخل غلاف العمل.</t>
  </si>
  <si>
    <t xml:space="preserve">S6-SAFE-001</t>
  </si>
  <si>
    <t xml:space="preserve">Attended Continuous Operation</t>
  </si>
  <si>
    <t xml:space="preserve">تشغيل مستمر تحت المراقبة</t>
  </si>
  <si>
    <t xml:space="preserve">uh-TEN-did kun-TIN-yoo-us op-er-AY-shun</t>
  </si>
  <si>
    <t xml:space="preserve">Running robot applications at minimum speed while an observer watches.</t>
  </si>
  <si>
    <t xml:space="preserve">Attended continuous operation is done at slow speed while a person watches.</t>
  </si>
  <si>
    <t xml:space="preserve">يُنفَّذ التشغيل المستمر تحت المراقبة بسرعة بطيئة بينما يراقب شخص ما.</t>
  </si>
  <si>
    <t xml:space="preserve">The technician ran the program in attended continuous operation first.</t>
  </si>
  <si>
    <t xml:space="preserve">شغّل الفني البرنامج أولاً في وضع التشغيل المستمر تحت المراقبة.</t>
  </si>
  <si>
    <t xml:space="preserve">S6-SAFE-002</t>
  </si>
  <si>
    <t xml:space="preserve">Attended Program Verification</t>
  </si>
  <si>
    <t xml:space="preserve">التحقق من البرنامج تحت المراقبة</t>
  </si>
  <si>
    <t xml:space="preserve">uh-TEN-did PROH-gram ver-ih-fih-KAY-shun</t>
  </si>
  <si>
    <t xml:space="preserve">A worker in the restricted area watches the robot run its assigned jobs at set speed to confirm safe conditions.</t>
  </si>
  <si>
    <t xml:space="preserve">Attended program verification checks the new program while a worker watches.</t>
  </si>
  <si>
    <t xml:space="preserve">يتحقق التحقق من البرنامج تحت المراقبة من البرنامج الجديد بينما يراقب عامل.</t>
  </si>
  <si>
    <t xml:space="preserve">Attended program verification is required before full-speed production.</t>
  </si>
  <si>
    <t xml:space="preserve">التحقق من البرنامج تحت المراقبة مطلوب قبل الإنتاج بالسرعة الكاملة.</t>
  </si>
  <si>
    <t xml:space="preserve">S6-TOOL-001</t>
  </si>
  <si>
    <t xml:space="preserve">Compensator</t>
  </si>
  <si>
    <t xml:space="preserve">المُعوِّض</t>
  </si>
  <si>
    <t xml:space="preserve">KOM-pen-say-ter</t>
  </si>
  <si>
    <t xml:space="preserve">A remote device with elastomer shear pads that aids peg-in-hole operations.</t>
  </si>
  <si>
    <t xml:space="preserve">The compensator helps the peg slide into the hole.</t>
  </si>
  <si>
    <t xml:space="preserve">يساعد المُعوِّض الوتد على الانزلاق إلى الثقب.</t>
  </si>
  <si>
    <t xml:space="preserve">We added a compensator to correct small alignment errors.</t>
  </si>
  <si>
    <t xml:space="preserve">أضفنا مُعوِّضاً لتصحيح أخطاء المحاذاة الصغيرة.</t>
  </si>
  <si>
    <t xml:space="preserve">S6-SAFE-013</t>
  </si>
  <si>
    <t xml:space="preserve">Maximum Envelope Space</t>
  </si>
  <si>
    <t xml:space="preserve">الحيّز الأقصى للعمل</t>
  </si>
  <si>
    <t xml:space="preserve">MAK-sih-mum EN-vuh-lohp SPAYS</t>
  </si>
  <si>
    <t xml:space="preserve">The largest area that all parts of the robot cover through their movements.</t>
  </si>
  <si>
    <t xml:space="preserve">The maximum envelope space is the largest area the robot can reach.</t>
  </si>
  <si>
    <t xml:space="preserve">حيّز الغلاف الأقصى هو أكبر منطقة يستطيع الروبوت بلوغها.</t>
  </si>
  <si>
    <t xml:space="preserve">Keep people outside the maximum envelope space.</t>
  </si>
  <si>
    <t xml:space="preserve">أبقِ الناس خارج حيّز الغلاف الأقصى.</t>
  </si>
  <si>
    <t xml:space="preserve">S6-SAFE-014</t>
  </si>
  <si>
    <t xml:space="preserve">Muting</t>
  </si>
  <si>
    <t xml:space="preserve">الكتم / التعطيل المؤقت</t>
  </si>
  <si>
    <t xml:space="preserve">MYOO-ting</t>
  </si>
  <si>
    <t xml:space="preserve">Temporarily turning off a presence-sensing safeguarding device during part of a robot operation.</t>
  </si>
  <si>
    <t xml:space="preserve">Muting temporarily turns off a safety sensor during part of the cycle.</t>
  </si>
  <si>
    <t xml:space="preserve">يعطّل الكتم حساس السلامة مؤقتاً خلال جزء من الدورة.</t>
  </si>
  <si>
    <t xml:space="preserve">Muting is allowed only when the area is safe.</t>
  </si>
  <si>
    <t xml:space="preserve">يُسمح بالكتم فقط عندما تكون المنطقة آمنة.</t>
  </si>
  <si>
    <t xml:space="preserve">S6-SAFE-015</t>
  </si>
  <si>
    <t xml:space="preserve">Operating Envelope Space</t>
  </si>
  <si>
    <t xml:space="preserve">حيّز التشغيل</t>
  </si>
  <si>
    <t xml:space="preserve">OP-er-ay-ting EN-vuh-lohp SPAYS</t>
  </si>
  <si>
    <t xml:space="preserve">The portion of the restricted envelope occupied during specified robot movements.</t>
  </si>
  <si>
    <t xml:space="preserve">The operating envelope space is the area used during a task.</t>
  </si>
  <si>
    <t xml:space="preserve">حيّز التشغيل هو المنطقة المستخدمة أثناء مهمة ما.</t>
  </si>
  <si>
    <t xml:space="preserve">Mark the operating envelope space on the floor.</t>
  </si>
  <si>
    <t xml:space="preserve">علّم حيّز التشغيل على الأرض.</t>
  </si>
  <si>
    <t xml:space="preserve">S6-SAFE-016</t>
  </si>
  <si>
    <t xml:space="preserve">Presence-Sensing Safeguarding Device</t>
  </si>
  <si>
    <t xml:space="preserve">جهاز حماية لاستشعار الوجود</t>
  </si>
  <si>
    <t xml:space="preserve">PREZ-uns SEN-sing SAYF-gar-ding dih-VYSE</t>
  </si>
  <si>
    <t xml:space="preserve">A device that creates a sensing field to detect intrusion by people, robots, or objects.</t>
  </si>
  <si>
    <t xml:space="preserve">A presence-sensing safeguarding device detects a person entering the area.</t>
  </si>
  <si>
    <t xml:space="preserve">يكشف جهاز حماية استشعار الوجود دخول شخص إلى المنطقة.</t>
  </si>
  <si>
    <t xml:space="preserve">A light curtain is a presence-sensing safeguarding device.</t>
  </si>
  <si>
    <t xml:space="preserve">الستارة الضوئية جهاز حماية لاستشعار الوجود.</t>
  </si>
  <si>
    <t xml:space="preserve">S6-TOOL-002</t>
  </si>
  <si>
    <t xml:space="preserve">Remote Compliance Center (RCC)</t>
  </si>
  <si>
    <t xml:space="preserve">مركز المطاوعة البعيد</t>
  </si>
  <si>
    <t xml:space="preserve">rih-MOHT kum-PLY-unts SEN-ter</t>
  </si>
  <si>
    <t xml:space="preserve">A device that decouples linear and rotational motion using a projected compliance center.</t>
  </si>
  <si>
    <t xml:space="preserve">An RCC device helps insert a peg into a hole.</t>
  </si>
  <si>
    <t xml:space="preserve">يساعد جهاز RCC في إدخال وتد في ثقب.</t>
  </si>
  <si>
    <t xml:space="preserve">The RCC absorbs small misalignment during assembly.</t>
  </si>
  <si>
    <t xml:space="preserve">يمتص جهاز RCC عدم المحاذاة الصغير أثناء التجميع.</t>
  </si>
  <si>
    <t xml:space="preserve">S6-SAFE-017</t>
  </si>
  <si>
    <t xml:space="preserve">Restricted Envelope Space</t>
  </si>
  <si>
    <t xml:space="preserve">الحيّز المقيّد</t>
  </si>
  <si>
    <t xml:space="preserve">rih-STRIK-tid EN-vuh-lohp SPAYS</t>
  </si>
  <si>
    <t xml:space="preserve">The part of the maximum envelope that bounds robot motion once a limiting device activates.</t>
  </si>
  <si>
    <t xml:space="preserve">The restricted envelope space is smaller than the maximum envelope.</t>
  </si>
  <si>
    <t xml:space="preserve">الحيّز المقيّد أصغر من الغلاف الأقصى.</t>
  </si>
  <si>
    <t xml:space="preserve">Limit switches define the restricted envelope space.</t>
  </si>
  <si>
    <t xml:space="preserve">تحدد المفاتيح الحدّية الحيّز المقيّد.</t>
  </si>
  <si>
    <t xml:space="preserve">S6-OPER-006</t>
  </si>
  <si>
    <t xml:space="preserve">Single Point of Control</t>
  </si>
  <si>
    <t xml:space="preserve">نقطة تحكم واحدة</t>
  </si>
  <si>
    <t xml:space="preserve">SING-gul POYNT uv kun-TROHL</t>
  </si>
  <si>
    <t xml:space="preserve">Robot operations controlled by one source.</t>
  </si>
  <si>
    <t xml:space="preserve">A single point of control means only one source controls the robot.</t>
  </si>
  <si>
    <t xml:space="preserve">تعني نقطة التحكم الواحدة أن مصدراً واحداً فقط يتحكم بالروبوت.</t>
  </si>
  <si>
    <t xml:space="preserve">This rule avoids conflicting commands.</t>
  </si>
  <si>
    <t xml:space="preserve">تتجنب هذه القاعدة تعارض الأوامر.</t>
  </si>
  <si>
    <t xml:space="preserve">S7-MAIN-002</t>
  </si>
  <si>
    <t xml:space="preserve">Downtime</t>
  </si>
  <si>
    <t xml:space="preserve">وقت التوقف</t>
  </si>
  <si>
    <t xml:space="preserve">DOWN-tyme</t>
  </si>
  <si>
    <t xml:space="preserve">Maintenance</t>
  </si>
  <si>
    <t xml:space="preserve">A period when a robot or production line is shut down due to failure; the opposite of uptime.</t>
  </si>
  <si>
    <t xml:space="preserve">Unplanned downtime costs the factory a lot of money.</t>
  </si>
  <si>
    <t xml:space="preserve">التوقف غير المخطط له يكلّف المصنع مبالغ كبيرة.</t>
  </si>
  <si>
    <t xml:space="preserve">We reduced downtime by changing worn parts on schedule.</t>
  </si>
  <si>
    <t xml:space="preserve">قللنا وقت التوقف باستبدال الأجزاء البالية في موعدها.</t>
  </si>
  <si>
    <t xml:space="preserve">7 – Troubleshooting &amp; Job Interviews | استكشاف الأعطال والمقابلات المهنية</t>
  </si>
  <si>
    <t xml:space="preserve">S7-INTV-020; S7-INTV-021</t>
  </si>
  <si>
    <t xml:space="preserve">S7-ELTR-001</t>
  </si>
  <si>
    <t xml:space="preserve">Harness</t>
  </si>
  <si>
    <t xml:space="preserve">حزمة الأسلاك</t>
  </si>
  <si>
    <t xml:space="preserve">HAR-nis</t>
  </si>
  <si>
    <t xml:space="preserve">Electrical</t>
  </si>
  <si>
    <t xml:space="preserve">A bundle of wires that carries power and signals between devices, such as motors and the controller.</t>
  </si>
  <si>
    <t xml:space="preserve">The wire harness connects the motors to the controller.</t>
  </si>
  <si>
    <t xml:space="preserve">تربط حزمة الأسلاك المحركات بالمتحكم.</t>
  </si>
  <si>
    <t xml:space="preserve">A broken harness can cause strange robot behavior.</t>
  </si>
  <si>
    <t xml:space="preserve">قد تسبب حزمة الأسلاك المقطوعة تصرفاً غريباً للروبوت.</t>
  </si>
  <si>
    <t xml:space="preserve">S7-MAIN-003</t>
  </si>
  <si>
    <t xml:space="preserve">الصيانة</t>
  </si>
  <si>
    <t xml:space="preserve">MAYN-tuh-nuns</t>
  </si>
  <si>
    <t xml:space="preserve">Ensuring robots and manufacturing systems work properly and repairing any problems.</t>
  </si>
  <si>
    <t xml:space="preserve">Regular maintenance keeps the robot working well.</t>
  </si>
  <si>
    <t xml:space="preserve">الصيانة المنتظمة تُبقي الروبوت يعمل جيداً.</t>
  </si>
  <si>
    <t xml:space="preserve">The maintenance team checks the cables every month.</t>
  </si>
  <si>
    <t xml:space="preserve">يفحص فريق الصيانة الكابلات كل شهر.</t>
  </si>
  <si>
    <t xml:space="preserve">S7-INTV-020; S7-INTV-021; S7-TRBL-015</t>
  </si>
  <si>
    <t xml:space="preserve">S7-BUSQ-001</t>
  </si>
  <si>
    <t xml:space="preserve">Quality Assurance (QA)</t>
  </si>
  <si>
    <t xml:space="preserve">ضمان الجودة</t>
  </si>
  <si>
    <t xml:space="preserve">KWOL-ih-tee uh-SHUR-uns</t>
  </si>
  <si>
    <t xml:space="preserve">Methods and procedures for testing quality during the design, manufacture, and maintenance of robots.</t>
  </si>
  <si>
    <t xml:space="preserve">QA checks the quality of every robot before delivery.</t>
  </si>
  <si>
    <t xml:space="preserve">يفحص ضمان الجودة جودة كل روبوت قبل التسليم.</t>
  </si>
  <si>
    <t xml:space="preserve">The QA team found a problem in the gearbox.</t>
  </si>
  <si>
    <t xml:space="preserve">وجد فريق ضمان الجودة مشكلة في علبة التروس.</t>
  </si>
  <si>
    <t xml:space="preserve">S7-MAIN-007</t>
  </si>
  <si>
    <t xml:space="preserve">Repair</t>
  </si>
  <si>
    <t xml:space="preserve">الإصلاح</t>
  </si>
  <si>
    <t xml:space="preserve">rih-PAIR</t>
  </si>
  <si>
    <t xml:space="preserve">Restoring a robotic system by fixing problems so it operates properly.</t>
  </si>
  <si>
    <t xml:space="preserve">We repaired the broken cable.</t>
  </si>
  <si>
    <t xml:space="preserve">أصلحنا الكابل المكسور.</t>
  </si>
  <si>
    <t xml:space="preserve">The repair took less than an hour.</t>
  </si>
  <si>
    <t xml:space="preserve">استغرق الإصلاح أقل من ساعة.</t>
  </si>
  <si>
    <t xml:space="preserve">S7-INTV-020</t>
  </si>
  <si>
    <t xml:space="preserve">S7-MAIN-008</t>
  </si>
  <si>
    <t xml:space="preserve">Service</t>
  </si>
  <si>
    <t xml:space="preserve">الخدمة</t>
  </si>
  <si>
    <t xml:space="preserve">SUR-vis</t>
  </si>
  <si>
    <t xml:space="preserve">Improving, restoring, and maintaining equipment to proper standards.</t>
  </si>
  <si>
    <t xml:space="preserve">The robot needs service every six months.</t>
  </si>
  <si>
    <t xml:space="preserve">يحتاج الروبوت إلى خدمة صيانة كل ستة أشهر.</t>
  </si>
  <si>
    <t xml:space="preserve">The service engineer replaced the battery.</t>
  </si>
  <si>
    <t xml:space="preserve">استبدل مهندس الخدمة البطارية.</t>
  </si>
  <si>
    <t xml:space="preserve">S7-MAIN-009</t>
  </si>
  <si>
    <t xml:space="preserve">Uptime</t>
  </si>
  <si>
    <t xml:space="preserve">وقت التشغيل</t>
  </si>
  <si>
    <t xml:space="preserve">UP-tyme</t>
  </si>
  <si>
    <t xml:space="preserve">A period when a robot or line is operating or available, as opposed to downtime.</t>
  </si>
  <si>
    <t xml:space="preserve">The line has 98 percent uptime.</t>
  </si>
  <si>
    <t xml:space="preserve">للخط وقت تشغيل بنسبة 98 بالمئة.</t>
  </si>
  <si>
    <t xml:space="preserve">Good maintenance improves uptime.</t>
  </si>
  <si>
    <t xml:space="preserve">الصيانة الجيدة تحسّن وقت التشغيل.</t>
  </si>
  <si>
    <t xml:space="preserve">S7-MECH-001</t>
  </si>
  <si>
    <t xml:space="preserve">Backlash</t>
  </si>
  <si>
    <t xml:space="preserve">الخلوص الميكانيكي</t>
  </si>
  <si>
    <t xml:space="preserve">BAK-lash</t>
  </si>
  <si>
    <t xml:space="preserve">Play between meshing parts that causes lost motion when the direction of travel reverses.</t>
  </si>
  <si>
    <t xml:space="preserve">Backlash can reduce the accuracy of a robotic arm.</t>
  </si>
  <si>
    <t xml:space="preserve">قد يقلل الخلوص الميكانيكي من دقة ذراع الروبوت.</t>
  </si>
  <si>
    <t xml:space="preserve">We adjusted the gears to minimize backlash in the gearbox.</t>
  </si>
  <si>
    <t xml:space="preserve">قمنا بضبط التروس لتقليل الخلوص في علبة التروس.</t>
  </si>
  <si>
    <t xml:space="preserve">S7-INTV-005; S7-TRBL-001; S7-TRBL-015</t>
  </si>
  <si>
    <t xml:space="preserve">S7-MAIN-001</t>
  </si>
  <si>
    <t xml:space="preserve">Burn-In</t>
  </si>
  <si>
    <t xml:space="preserve">التشغيل الاختباري المطوّل</t>
  </si>
  <si>
    <t xml:space="preserve">BURN-in</t>
  </si>
  <si>
    <t xml:space="preserve">Running all robot components continuously for an extended period to reveal movement faults before deployment.</t>
  </si>
  <si>
    <t xml:space="preserve">We run a burn-in test to find faults before delivery.</t>
  </si>
  <si>
    <t xml:space="preserve">نجري اختبار تشغيل مطوّل لاكتشاف الأعطال قبل التسليم.</t>
  </si>
  <si>
    <t xml:space="preserve">The burn-in lasted 48 hours without any failure.</t>
  </si>
  <si>
    <t xml:space="preserve">استمر التشغيل الاختباري 48 ساعة دون أي عطل.</t>
  </si>
  <si>
    <t xml:space="preserve">S7-MAIN-004</t>
  </si>
  <si>
    <t xml:space="preserve">Rebuild</t>
  </si>
  <si>
    <t xml:space="preserve">إعادة البناء</t>
  </si>
  <si>
    <t xml:space="preserve">ree-BILD</t>
  </si>
  <si>
    <t xml:space="preserve">Restoring robot parts to their original appearance, performance, and life expectancy.</t>
  </si>
  <si>
    <t xml:space="preserve">We rebuilt the robot to bring it back to like-new condition.</t>
  </si>
  <si>
    <t xml:space="preserve">أعدنا بناء الروبوت ليعود كأنه جديد.</t>
  </si>
  <si>
    <t xml:space="preserve">A rebuild is cheaper than buying a new robot.</t>
  </si>
  <si>
    <t xml:space="preserve">إعادة البناء أرخص من شراء روبوت جديد.</t>
  </si>
  <si>
    <t xml:space="preserve">S7-MAIN-005</t>
  </si>
  <si>
    <t xml:space="preserve">Reliability</t>
  </si>
  <si>
    <t xml:space="preserve">الموثوقية</t>
  </si>
  <si>
    <t xml:space="preserve">rih-ly-uh-BIL-ih-tee</t>
  </si>
  <si>
    <t xml:space="preserve">The probability or percentage of time a device functions without failure, also called uptime or MTBF.</t>
  </si>
  <si>
    <t xml:space="preserve">The reliability of this robot is very high.</t>
  </si>
  <si>
    <t xml:space="preserve">موثوقية هذا الروبوت عالية جداً.</t>
  </si>
  <si>
    <t xml:space="preserve">MTBF is a common measure of reliability.</t>
  </si>
  <si>
    <t xml:space="preserve">MTBF مقياس شائع للموثوقية.</t>
  </si>
  <si>
    <t xml:space="preserve">S7-INTV-021</t>
  </si>
  <si>
    <t xml:space="preserve">S7-SWDS-001</t>
  </si>
  <si>
    <t xml:space="preserve">Test Automation</t>
  </si>
  <si>
    <t xml:space="preserve">أتمتة الاختبار</t>
  </si>
  <si>
    <t xml:space="preserve">TEST aw-tuh-MAY-shun</t>
  </si>
  <si>
    <t xml:space="preserve">Software that performs tests to observe system behavior.</t>
  </si>
  <si>
    <t xml:space="preserve">Test automation runs software tests without a person.</t>
  </si>
  <si>
    <t xml:space="preserve">تنفّذ أتمتة الاختبار اختبارات البرمجيات دون تدخل شخص.</t>
  </si>
  <si>
    <t xml:space="preserve">We use test automation to check every software update.</t>
  </si>
  <si>
    <t xml:space="preserve">نستخدم أتمتة الاختبار لفحص كل تحديث برمجي.</t>
  </si>
  <si>
    <t xml:space="preserve">S7-MAIN-006</t>
  </si>
  <si>
    <t xml:space="preserve">Remanufacture</t>
  </si>
  <si>
    <t xml:space="preserve">إعادة التصنيع</t>
  </si>
  <si>
    <t xml:space="preserve">ree-man-yuh-FAK-chur</t>
  </si>
  <si>
    <t xml:space="preserve">Upgrading or modifying robots to meet current standards or the manufacturer's revised specifications.</t>
  </si>
  <si>
    <t xml:space="preserve">Remanufacture upgrades an old robot to current standards.</t>
  </si>
  <si>
    <t xml:space="preserve">تُرقّي إعادة التصنيع روبوتاً قديماً إلى المعايير الحالية.</t>
  </si>
  <si>
    <t xml:space="preserve">The company offers remanufacture of old robot arms.</t>
  </si>
  <si>
    <t xml:space="preserve">تقدّم الشركة خدمة إعادة تصنيع الأذرع الآلية القديمة.</t>
  </si>
  <si>
    <t xml:space="preserve">S7-KINE-001</t>
  </si>
  <si>
    <t xml:space="preserve">Singularity</t>
  </si>
  <si>
    <t xml:space="preserve">نقطة التفرّد</t>
  </si>
  <si>
    <t xml:space="preserve">sing-gyuh-LAIR-ih-tee</t>
  </si>
  <si>
    <t xml:space="preserve">A configuration where two joints become aligned, so smooth path following fails and control may be lost.</t>
  </si>
  <si>
    <t xml:space="preserve">Near a singularity, the robot may lose smooth control.</t>
  </si>
  <si>
    <t xml:space="preserve">قرب نقطة التفرّد قد يفقد الروبوت التحكم السلس.</t>
  </si>
  <si>
    <t xml:space="preserve">Avoid the singularity by changing the path.</t>
  </si>
  <si>
    <t xml:space="preserve">تجنب نقطة التفرّد بتغيير المسار.</t>
  </si>
  <si>
    <t xml:space="preserve">S7-ACTU-001</t>
  </si>
  <si>
    <t xml:space="preserve">Torque Ripple</t>
  </si>
  <si>
    <t xml:space="preserve">تموّج العزم</t>
  </si>
  <si>
    <t xml:space="preserve">TORK RIP-ul</t>
  </si>
  <si>
    <t xml:space="preserve">Periodic variation in output torque that degrades smoothness and can excite resonance.</t>
  </si>
  <si>
    <t xml:space="preserve">Torque ripple causes vibration at low speed.</t>
  </si>
  <si>
    <t xml:space="preserve">يسبب تموّج العزم اهتزازاً عند السرعة المنخفضة.</t>
  </si>
  <si>
    <t xml:space="preserve">The drive reduces torque ripple with better current control.</t>
  </si>
  <si>
    <t xml:space="preserve">يقلل المشغّل تموّج العزم بتحكم أفضل في التيار.</t>
  </si>
  <si>
    <t xml:space="preserve">S7-EMBD-001</t>
  </si>
  <si>
    <t xml:space="preserve">Watchdog Timer</t>
  </si>
  <si>
    <t xml:space="preserve">مؤقّت المراقبة</t>
  </si>
  <si>
    <t xml:space="preserve">WOCH-dog TY-mer</t>
  </si>
  <si>
    <t xml:space="preserve">A hardware timer that resets the system if firmware fails to periodically reset it.</t>
  </si>
  <si>
    <t xml:space="preserve">A watchdog timer resets the controller if the software freezes.</t>
  </si>
  <si>
    <t xml:space="preserve">يعيد مؤقّت المراقبة تشغيل المتحكم إذا تجمّدت البرمجيات.</t>
  </si>
  <si>
    <t xml:space="preserve">The watchdog restarted the system after a crash.</t>
  </si>
  <si>
    <t xml:space="preserve">أعاد مؤقّت المراقبة تشغيل النظام بعد التعطل.</t>
  </si>
  <si>
    <t xml:space="preserve">Stage 1: Robotics Fundamentals — أساسيات الروبوتات</t>
  </si>
  <si>
    <t xml:space="preserve">What a robot is: parts, joints, robot types, basic geometry and terms.  |  ما هو الروبوت: أجزاؤه ومفاصله وأنواعه والمصطلحات والهندسة الأساسية.</t>
  </si>
  <si>
    <t xml:space="preserve">Stage 2: Control &amp; Motion — التحكم والحركة</t>
  </si>
  <si>
    <t xml:space="preserve">Kinematics, feedback, PID, paths, trajectories, accuracy and the math behind them.  |  الكينماتيكا والتغذية الراجعة وPID والمسارات والدقة والرياضيات المرتبطة بها.</t>
  </si>
  <si>
    <t xml:space="preserve">Stage 3: Motors &amp; Sensors — المحركات والحساسات</t>
  </si>
  <si>
    <t xml:space="preserve">Actuators, motors, drives, gears, encoders and all kinds of sensors.  |  المشغّلات والمحركات والمخفضات والتروس والمُرمِّزات وأنواع الحساسات.</t>
  </si>
  <si>
    <t xml:space="preserve">Stage 4: Embedded Systems — الأنظمة المضمنة</t>
  </si>
  <si>
    <t xml:space="preserve">Microcontrollers, firmware, interrupts, electronics, and controller hardware.  |  المتحكمات الدقيقة والبرامج الثابتة والمقاطعات والإلكترونيات وعتاد المتحكم.</t>
  </si>
  <si>
    <t xml:space="preserve">Stage 5: Industrial Automation — الأتمتة الصناعية</t>
  </si>
  <si>
    <t xml:space="preserve">PLCs, work cells, integrators, tooling, and real factory applications.  |  المتحكمات المنطقية وخلايا العمل والمُكامِلون والأدوات والتطبيقات المصنعية.</t>
  </si>
  <si>
    <t xml:space="preserve">Stage 6: Robot Operation — تشغيل الروبوتات</t>
  </si>
  <si>
    <t xml:space="preserve">Programming, teaching, operating modes, safety rules and specifications.  |  البرمجة والتعليم وأنماط التشغيل وقواعد السلامة والمواصفات.</t>
  </si>
  <si>
    <t xml:space="preserve">Stage 7: Troubleshooting &amp; Job Interviews — استكشاف الأعطال والمقابلات المهنية</t>
  </si>
  <si>
    <t xml:space="preserve">Maintenance, downtime, faults, reliability, quality, and typical interview terms.  |  الصيانة والتوقف والأعطال والموثوقية والجودة ومصطلحات المقابلات المعتادة.</t>
  </si>
  <si>
    <t xml:space="preserve">Interview Q&amp;A — أسئلة المقابلات المهنية</t>
  </si>
  <si>
    <t xml:space="preserve">Typical mechatronics/robotics interview questions. Answers are original study aids. 'Key term IDs' link to the All Terms sheet.</t>
  </si>
  <si>
    <t xml:space="preserve">Interview question</t>
  </si>
  <si>
    <t xml:space="preserve">السؤال</t>
  </si>
  <si>
    <t xml:space="preserve">Model answer (English)</t>
  </si>
  <si>
    <t xml:space="preserve">الإجابة النموذجية (عربي)</t>
  </si>
  <si>
    <t xml:space="preserve">Key terms to use</t>
  </si>
  <si>
    <t xml:space="preserve">Key term IDs</t>
  </si>
  <si>
    <t xml:space="preserve">Level</t>
  </si>
  <si>
    <t xml:space="preserve">What is the difference between accuracy and repeatability?</t>
  </si>
  <si>
    <t xml:space="preserve">ما الفرق بين الدقة وقابلية التكرار؟</t>
  </si>
  <si>
    <t xml:space="preserve">Accuracy is how close the robot gets to the commanded point. Repeatability is how consistently it returns to the same taught point. Repeatability is usually better than accuracy.</t>
  </si>
  <si>
    <t xml:space="preserve">الدقة هي مدى اقتراب الروبوت من النقطة المطلوبة، أما قابلية التكرار فهي مدى ثبات عودته إلى النقطة المعلَّمة نفسها. قابلية التكرار عادةً أفضل من الدقة.</t>
  </si>
  <si>
    <t xml:space="preserve">Accuracy; Repeatability; Precision</t>
  </si>
  <si>
    <t xml:space="preserve">S2-QUAL-001; S2-QUAL-004; S2-QUAL-003</t>
  </si>
  <si>
    <t xml:space="preserve">What is a degree of freedom?</t>
  </si>
  <si>
    <t xml:space="preserve">ما هي درجة الحرية؟</t>
  </si>
  <si>
    <t xml:space="preserve">A degree of freedom is one independent way a robot can move, such as one joint rotating. Six degrees of freedom allow a tool to reach any position and orientation in space.</t>
  </si>
  <si>
    <t xml:space="preserve">درجة الحرية هي طريقة مستقلة واحدة يستطيع الروبوت التحرك بها، مثل دوران مفصل واحد. ست درجات حرية تتيح للأداة بلوغ أي موضع واتجاه في الفراغ.</t>
  </si>
  <si>
    <t xml:space="preserve">Degrees of Freedom (DOF); Joint; Axis</t>
  </si>
  <si>
    <t xml:space="preserve">S1-KINE-004; S1-MECH-005; S1-KINE-002</t>
  </si>
  <si>
    <t xml:space="preserve">Explain open-loop and closed-loop control.</t>
  </si>
  <si>
    <t xml:space="preserve">اشرح التحكم بالحلقة المفتوحة والحلقة المغلقة.</t>
  </si>
  <si>
    <t xml:space="preserve">Open-loop control sends commands without checking the result, so errors go unnoticed. Closed-loop control measures the output with a sensor and corrects the error using feedback.</t>
  </si>
  <si>
    <t xml:space="preserve">التحكم بالحلقة المفتوحة يرسل الأوامر دون التحقق من النتيجة فلا تُكتشف الأخطاء. أما التحكم بالحلقة المغلقة فيقيس الخرج بحساس ويصحح الخطأ باستخدام التغذية الراجعة.</t>
  </si>
  <si>
    <t xml:space="preserve">Open-Loop Control; Closed-Loop Control; Feedback</t>
  </si>
  <si>
    <t xml:space="preserve">S2-CTRL-018; S2-CTRL-003; S2-CTRL-011</t>
  </si>
  <si>
    <t xml:space="preserve">What does a PID controller do?</t>
  </si>
  <si>
    <t xml:space="preserve">ماذا يفعل متحكم PID؟</t>
  </si>
  <si>
    <t xml:space="preserve">A PID controller combines three actions: Proportional reacts to the current error, Integral removes the accumulated steady-state error, and Derivative reduces overshoot by reacting to how fast the error changes.</t>
  </si>
  <si>
    <t xml:space="preserve">يجمع متحكم PID ثلاثة إجراءات: التناسبي يستجيب للخطأ الحالي، والتكاملي يزيل الخطأ المستقر المتراكم، والتفاضلي يقلل التجاوز بالاستجابة لسرعة تغير الخطأ.</t>
  </si>
  <si>
    <t xml:space="preserve">PID Controller; Gain; Overshoot; Integral control</t>
  </si>
  <si>
    <t xml:space="preserve">S2-CTRL-020; S2-CTRL-016; S2-CTRL-019; S2-CTRL-017</t>
  </si>
  <si>
    <t xml:space="preserve">What is backlash and how can you reduce it?</t>
  </si>
  <si>
    <t xml:space="preserve">ما هو الخلوص الميكانيكي (Backlash) وكيف يمكن تقليله؟</t>
  </si>
  <si>
    <t xml:space="preserve">Backlash is the small play between meshing gear teeth that causes lost motion when direction reverses. You can reduce it with precision gears, preloaded or anti-backlash gears, harmonic drives, or direct drive.</t>
  </si>
  <si>
    <t xml:space="preserve">الخلوص هو الفراغ الصغير بين أسنان التروس المتشابكة ويسبب فقدان حركة عند عكس الاتجاه. يمكن تقليله بتروس دقيقة أو تروس مسبقة الشد أو مخفضات توافقية أو دفع مباشر.</t>
  </si>
  <si>
    <t xml:space="preserve">Backlash; Harmonic Drive; Direct-Drive; Gear Ratio</t>
  </si>
  <si>
    <t xml:space="preserve">S7-MECH-001; S3-MECH-008; S3-MECH-005; S3-MECH-007</t>
  </si>
  <si>
    <t xml:space="preserve">What is the difference between a servo motor and a stepper motor?</t>
  </si>
  <si>
    <t xml:space="preserve">ما الفرق بين المحرك المؤازر والمحرك الخطوي؟</t>
  </si>
  <si>
    <t xml:space="preserve">A servo motor uses feedback (usually an encoder) and closed-loop control, so it is precise and strong at high speed. A stepper moves in fixed steps and can run open-loop, which is simpler and cheaper but can miss steps under load.</t>
  </si>
  <si>
    <t xml:space="preserve">المحرك المؤازر يستخدم تغذية راجعة (عادةً مُرمِّز) وتحكماً بالحلقة المغلقة فهو دقيق وقوي بالسرعات العالية. أما الخطوي فيتحرك بخطوات ثابتة ويعمل بحلقة مفتوحة، وهو أبسط وأرخص لكنه قد يفقد خطوات تحت الحِمل.</t>
  </si>
  <si>
    <t xml:space="preserve">Servo Motor; Stepper Motor; Encoder; Holding Torque</t>
  </si>
  <si>
    <t xml:space="preserve">S3-ACTU-011; S3-ACTU-014; S3-SENS-005; S3-ACTU-005</t>
  </si>
  <si>
    <t xml:space="preserve">What is an encoder? What is the difference between incremental and absolute?</t>
  </si>
  <si>
    <t xml:space="preserve">ما هو المُرمِّز (الإنكودر)؟ وما الفرق بين التزايدي والمطلق؟</t>
  </si>
  <si>
    <t xml:space="preserve">An encoder converts motion into electrical signals to report position or speed. An incremental encoder counts pulses and needs homing after power-up; an absolute encoder gives a unique position code and knows its position immediately.</t>
  </si>
  <si>
    <t xml:space="preserve">المُرمِّز يحوّل الحركة إلى إشارات كهربائية لتحديد الموضع أو السرعة. المُرمِّز التزايدي يعدّ النبضات ويحتاج إلى تصفير بعد التشغيل، أما المطلق فيعطي رمزاً فريداً للموضع ويعرف موضعه فوراً.</t>
  </si>
  <si>
    <t xml:space="preserve">Encoder; Encoder, Absolute; Optical Encoder; Homing</t>
  </si>
  <si>
    <t xml:space="preserve">S3-SENS-005; S3-SENS-006; S3-SENS-020; S6-MOTN-001</t>
  </si>
  <si>
    <t xml:space="preserve">What is the difference between forward and inverse kinematics?</t>
  </si>
  <si>
    <t xml:space="preserve">ما الفرق بين الكينماتيكا الأمامية والعكسية؟</t>
  </si>
  <si>
    <t xml:space="preserve">Forward kinematics calculates the tool position from the joint angles. Inverse kinematics calculates the joint angles needed to reach a desired tool pose, and it can have zero, one, or several solutions.</t>
  </si>
  <si>
    <t xml:space="preserve">الكينماتيكا الأمامية تحسب موضع الأداة من زوايا المفاصل. أما العكسية فتحسب زوايا المفاصل اللازمة للوصول إلى وضعية مطلوبة للأداة، وقد يكون لها صفر أو حل واحد أو عدة حلول.</t>
  </si>
  <si>
    <t xml:space="preserve">Forward Kinematic Solution; Inverse Kinematics (IK); Pose</t>
  </si>
  <si>
    <t xml:space="preserve">S2-KINE-010; S2-KINE-012; S2-KINE-019</t>
  </si>
  <si>
    <t xml:space="preserve">What is a singularity in a robot arm?</t>
  </si>
  <si>
    <t xml:space="preserve">ما هي نقطة التفرّد في الذراع الآلية؟</t>
  </si>
  <si>
    <t xml:space="preserve">A singularity is a configuration where joints line up and the robot loses the ability to move in some direction. Smooth path following fails and joint speeds can become very large. We avoid it by changing the path or the arm configuration.</t>
  </si>
  <si>
    <t xml:space="preserve">نقطة التفرّد وضعية تصطف فيها المفاصل فيفقد الروبوت القدرة على الحركة في اتجاه ما. يفشل تتبع المسار السلس وقد تصبح سرعات المفاصل كبيرة جداً. نتجنبها بتغيير المسار أو وضعية الذراع.</t>
  </si>
  <si>
    <t xml:space="preserve">Singularity; Jacobian Matrix; Configuration</t>
  </si>
  <si>
    <t xml:space="preserve">S7-KINE-001; S2-MATH-011; S2-KINE-005</t>
  </si>
  <si>
    <t xml:space="preserve">What is a PLC and why is it used with robots?</t>
  </si>
  <si>
    <t xml:space="preserve">ما هو المتحكم المنطقي القابل للبرمجة (PLC) ولماذا يُستخدم مع الروبوتات؟</t>
  </si>
  <si>
    <t xml:space="preserve">A PLC is a rugged industrial controller for logic, timing, and counting. It coordinates the robot with conveyors, sensors, and safety devices in the work cell.</t>
  </si>
  <si>
    <t xml:space="preserve">PLC متحكم صناعي متين للمنطق والتوقيت والعدّ. ينسق عمل الروبوت مع السيور والحساسات وأجهزة السلامة في خلية العمل.</t>
  </si>
  <si>
    <t xml:space="preserve">Programmable Logic Controller (PLC); Work Cell; Interface</t>
  </si>
  <si>
    <t xml:space="preserve">S5-AUTO-018; S5-AUTO-021; S4-COMM-001</t>
  </si>
  <si>
    <t xml:space="preserve">Why do we use PWM to control a motor?</t>
  </si>
  <si>
    <t xml:space="preserve">لماذا نستخدم PWM للتحكم في المحرك؟</t>
  </si>
  <si>
    <t xml:space="preserve">PWM controls the average power by changing how long the signal is on in each cycle. It is efficient because the switch is either fully on or off, so very little energy is lost as heat.</t>
  </si>
  <si>
    <t xml:space="preserve">يتحكم PWM في متوسط القدرة بتغيير مدة تشغيل الإشارة في كل دورة. وهو فعّال لأن المفتاح إما مغلق كلياً أو مفتوح كلياً فيضيع قدر قليل من الطاقة كحرارة.</t>
  </si>
  <si>
    <t xml:space="preserve">Pulse Width Modulation (PWM); Duty Cycle; Motor Driver</t>
  </si>
  <si>
    <t xml:space="preserve">S4-ELEC-003; S3-ELEC-002; S3-ELEC-003</t>
  </si>
  <si>
    <t xml:space="preserve">What is the role of an emergency stop and an enabling device?</t>
  </si>
  <si>
    <t xml:space="preserve">ما دور زر إيقاف الطوارئ وجهاز التمكين؟</t>
  </si>
  <si>
    <t xml:space="preserve">The emergency stop is a hardware circuit that removes drive power so all motion stops. The enabling device (dead man switch) allows motion only while it is held, and releasing it stops hazardous motion.</t>
  </si>
  <si>
    <t xml:space="preserve">زر إيقاف الطوارئ دارة عتادية تقطع طاقة التشغيل فتتوقف كل الحركة. أما جهاز التمكين (مفتاح الرجل الميت) فيسمح بالحركة فقط أثناء الضغط عليه، وتركه يوقف الحركة الخطرة.</t>
  </si>
  <si>
    <t xml:space="preserve">Emergency Stop (ESTOP); Enabling Device; Dead Man Switch</t>
  </si>
  <si>
    <t xml:space="preserve">S6-SAFE-007; S6-SAFE-008; S6-SAFE-006</t>
  </si>
  <si>
    <t xml:space="preserve">S7-INTV-013</t>
  </si>
  <si>
    <t xml:space="preserve">Why must the tool center point (TCP) be calibrated?</t>
  </si>
  <si>
    <t xml:space="preserve">لماذا يجب معايرة نقطة مركز الأداة (TCP)؟</t>
  </si>
  <si>
    <t xml:space="preserve">The robot calculates all motion from the TCP. If the TCP is wrong after a tool change, the robot will miss its targets and the tool may crash into the part.</t>
  </si>
  <si>
    <t xml:space="preserve">يحسب الروبوت كل الحركات انطلاقاً من نقطة مركز الأداة. إذا كانت خاطئة بعد تغيير الأداة فسيخطئ الروبوت أهدافه وقد تصطدم الأداة بالقطعة.</t>
  </si>
  <si>
    <t xml:space="preserve">Tool Center Point (TCP); Tool Frame; Robotic Tool Changer</t>
  </si>
  <si>
    <t xml:space="preserve">S2-KINE-026; S2-KINE-027; S5-TOOL-005</t>
  </si>
  <si>
    <t xml:space="preserve">What is a work envelope and why does it matter?</t>
  </si>
  <si>
    <t xml:space="preserve">ما هو غلاف العمل ولماذا هو مهم؟</t>
  </si>
  <si>
    <t xml:space="preserve">The work envelope is the set of all points the arm can reach. It decides where the robot, fixtures, and parts can be placed, and it is used to define the safety zone.</t>
  </si>
  <si>
    <t xml:space="preserve">غلاف العمل هو مجموعة كل النقاط التي تصلها الذراع. يحدد أين يمكن وضع الروبوت وأدوات التثبيت والقطع، ويُستخدم لتعريف منطقة السلامة.</t>
  </si>
  <si>
    <t xml:space="preserve">Work Envelope; Reach; Workspace; Restricted Envelope Space</t>
  </si>
  <si>
    <t xml:space="preserve">S6-SPEC-005; S6-SPEC-003; S1-SPEC-001; S6-SAFE-017</t>
  </si>
  <si>
    <t xml:space="preserve">What is the difference between active and passive sensors?</t>
  </si>
  <si>
    <t xml:space="preserve">ما الفرق بين الحساسات النشطة والسلبية؟</t>
  </si>
  <si>
    <t xml:space="preserve">An active sensor sends out a signal and measures the response, such as an ultrasonic sensor. A passive sensor only listens to signals that already exist, such as a camera or a light sensor.</t>
  </si>
  <si>
    <t xml:space="preserve">الحساس النشط يرسل إشارة ويقيس الاستجابة، مثل الحساس فوق الصوتي. أما السلبي فيستمع فقط إلى إشارات موجودة أصلاً، مثل الكاميرا أو حساس الضوء.</t>
  </si>
  <si>
    <t xml:space="preserve">Active sensor; Passive sensor; Ultrasonic sensor</t>
  </si>
  <si>
    <t xml:space="preserve">S3-SENS-002; S3-SENS-022; S3-SENS-033</t>
  </si>
  <si>
    <t xml:space="preserve">S7-INTV-016</t>
  </si>
  <si>
    <t xml:space="preserve">What is a watchdog timer?</t>
  </si>
  <si>
    <t xml:space="preserve">ما هو مؤقّت المراقبة (Watchdog Timer)؟</t>
  </si>
  <si>
    <t xml:space="preserve">A watchdog timer is a hardware timer that resets the system if the firmware stops resetting it. It protects the machine from software freezes.</t>
  </si>
  <si>
    <t xml:space="preserve">مؤقّت المراقبة مؤقّت عتادي يعيد تشغيل النظام إذا توقفت البرامج الثابتة عن تصفيره. يحمي الآلة من تجمّد البرمجيات.</t>
  </si>
  <si>
    <t xml:space="preserve">Watchdog Timer; Firmware; Real-Time System</t>
  </si>
  <si>
    <t xml:space="preserve">S7-EMBD-001; S4-EMBD-004; S4-EMBD-008</t>
  </si>
  <si>
    <t xml:space="preserve">S7-INTV-017</t>
  </si>
  <si>
    <t xml:space="preserve">Why is homing needed?</t>
  </si>
  <si>
    <t xml:space="preserve">لماذا نحتاج إلى التصفير (Homing)؟</t>
  </si>
  <si>
    <t xml:space="preserve">Homing moves each axis to a known reference position. Machines with incremental encoders do not know their position after power-up, so they must home before working.</t>
  </si>
  <si>
    <t xml:space="preserve">التصفير يحرّك كل محور إلى موضع مرجعي معروف. الآلات ذات المُرمِّزات التزايدية لا تعرف موضعها بعد التشغيل، لذا يجب أن تُصفَّر قبل العمل.</t>
  </si>
  <si>
    <t xml:space="preserve">Homing; Home Position; Limit Switch</t>
  </si>
  <si>
    <t xml:space="preserve">S6-MOTN-001; S6-OPER-004; S3-SENS-016</t>
  </si>
  <si>
    <t xml:space="preserve">What is a real-time system?</t>
  </si>
  <si>
    <t xml:space="preserve">ما هو نظام الزمن الحقيقي؟</t>
  </si>
  <si>
    <t xml:space="preserve">A real-time system must produce correct results within a fixed time limit. A robot controller is real-time because a late answer can cause a wrong or unsafe movement.</t>
  </si>
  <si>
    <t xml:space="preserve">نظام الزمن الحقيقي يجب أن ينتج نتائج صحيحة ضمن حد زمني ثابت. متحكم الروبوت نظام زمن حقيقي لأن الإجابة المتأخرة قد تسبب حركة خاطئة أو غير آمنة.</t>
  </si>
  <si>
    <t xml:space="preserve">Real-Time System; Interrupt; Embedded System</t>
  </si>
  <si>
    <t xml:space="preserve">S4-EMBD-008; S4-EMBD-006; S4-EMBD-002</t>
  </si>
  <si>
    <t xml:space="preserve">How do you stay safe when working near an industrial robot?</t>
  </si>
  <si>
    <t xml:space="preserve">كيف تحافظ على سلامتك عند العمل بالقرب من روبوت صناعي؟</t>
  </si>
  <si>
    <t xml:space="preserve">I follow the safety procedure: stop the robot and use lockout before entering the cell, carry the teach pendant with the enabling device, work at slow speed in teach mode, and never bypass an interlock or safeguard.</t>
  </si>
  <si>
    <t xml:space="preserve">أتبع إجراءات السلامة: أوقف الروبوت وأطبّق قفل الطاقة قبل دخول الخلية، وأحمل وحدة التعليم مع جهاز التمكين، وأعمل بسرعة بطيئة في وضع التعليم، ولا أتجاوز أي قفل بيني أو وسيلة حماية.</t>
  </si>
  <si>
    <t xml:space="preserve">Safety Procedure; Teach Pendant; Interlock; Safeguard</t>
  </si>
  <si>
    <t xml:space="preserve">S6-SAFE-019; S6-OPER-009; S6-SAFE-011; S6-SAFE-018</t>
  </si>
  <si>
    <t xml:space="preserve">Tell me about a time you found and fixed a fault. (Behavioral question)</t>
  </si>
  <si>
    <t xml:space="preserve">حدّثني عن موقف اكتشفت فيه عطلاً وأصلحته. (سؤال سلوكي)</t>
  </si>
  <si>
    <t xml:space="preserve">Use the STAR method: Situation (what machine and what symptom), Task (what you had to achieve), Action (how you checked power, wiring, sensors, then software), Result (what was fixed and how much downtime you saved).</t>
  </si>
  <si>
    <t xml:space="preserve">استخدم طريقة STAR: الموقف (أي آلة وما العَرَض)، المهمة (ما المطلوب)، الإجراء (كيف فحصت الطاقة ثم الأسلاك ثم الحساسات ثم البرمجيات)، النتيجة (ما الذي أُصلح وكم وقتاً وفّرت من التوقف).</t>
  </si>
  <si>
    <t xml:space="preserve">Downtime; Maintenance; Repair; Uptime</t>
  </si>
  <si>
    <t xml:space="preserve">S7-MAIN-002; S7-MAIN-003; S7-MAIN-007; S7-MAIN-009</t>
  </si>
  <si>
    <t xml:space="preserve">What is the difference between reliability and maintenance?</t>
  </si>
  <si>
    <t xml:space="preserve">ما الفرق بين الموثوقية والصيانة؟</t>
  </si>
  <si>
    <t xml:space="preserve">Reliability is the probability that a machine works without failure (often measured by MTBF or uptime). Maintenance is the work we do, such as inspection, lubrication, and repair, to keep reliability high.</t>
  </si>
  <si>
    <t xml:space="preserve">الموثوقية هي احتمال عمل الآلة دون عطل (وتُقاس غالباً بـ MTBF أو وقت التشغيل). أما الصيانة فهي العمل الذي نقوم به، كالفحص والتشحيم والإصلاح، للحفاظ على موثوقية عالية.</t>
  </si>
  <si>
    <t xml:space="preserve">Reliability; Maintenance; Uptime; Downtime</t>
  </si>
  <si>
    <t xml:space="preserve">S7-MAIN-005; S7-MAIN-003; S7-MAIN-009; S7-MAIN-002</t>
  </si>
  <si>
    <t xml:space="preserve">Troubleshooting Guide — دليل استكشاف الأعطال</t>
  </si>
  <si>
    <t xml:space="preserve">Common faults with likely causes and checks. General study guide: always follow the manufacturer's manual and lock-out/tag-out rules.</t>
  </si>
  <si>
    <t xml:space="preserve">Symptom</t>
  </si>
  <si>
    <t xml:space="preserve">العَرَض</t>
  </si>
  <si>
    <t xml:space="preserve">Likely causes</t>
  </si>
  <si>
    <t xml:space="preserve">الأسباب المحتملة</t>
  </si>
  <si>
    <t xml:space="preserve">What to check / fix</t>
  </si>
  <si>
    <t xml:space="preserve">ما يجب فحصه / الحل</t>
  </si>
  <si>
    <t xml:space="preserve">Related terms</t>
  </si>
  <si>
    <t xml:space="preserve">Related term IDs</t>
  </si>
  <si>
    <t xml:space="preserve">S7-TRBL-001</t>
  </si>
  <si>
    <t xml:space="preserve">Arm position drifts or error grows over time</t>
  </si>
  <si>
    <t xml:space="preserve">ينحرف موضع الذراع أو يزداد الخطأ مع الوقت</t>
  </si>
  <si>
    <t xml:space="preserve">Encoder fault, loose coupling, lost calibration, or backlash.</t>
  </si>
  <si>
    <t xml:space="preserve">عطل في المُرمِّز أو قارنة مرتخية أو فقدان المعايرة أو خلوص.</t>
  </si>
  <si>
    <t xml:space="preserve">Check encoder cable and mounting, tighten couplings, re-home and recalibrate, measure backlash in the gearbox.</t>
  </si>
  <si>
    <t xml:space="preserve">افحص كابل المُرمِّز وتثبيته، شدّ القوارن، أعد التصفير والمعايرة، وقِس الخلوص في علبة التروس.</t>
  </si>
  <si>
    <t xml:space="preserve">Encoder; Homing; Backlash</t>
  </si>
  <si>
    <t xml:space="preserve">S3-SENS-005; S6-MOTN-001; S7-MECH-001</t>
  </si>
  <si>
    <t xml:space="preserve">Motor vibrates or oscillates</t>
  </si>
  <si>
    <t xml:space="preserve">المحرك يهتز أو يتذبذب</t>
  </si>
  <si>
    <t xml:space="preserve">Gain too high, resonance near the natural frequency, or a loose mechanical part.</t>
  </si>
  <si>
    <t xml:space="preserve">كسب مرتفع أو رنين قرب التردد الطبيعي أو جزء ميكانيكي مرتخٍ.</t>
  </si>
  <si>
    <t xml:space="preserve">Reduce the gain, retune the PID controller, check stiffness and fasteners, add damping or a filter.</t>
  </si>
  <si>
    <t xml:space="preserve">قلّل الكسب، أعد ضبط متحكم PID، افحص الجساءة والمثبّتات، وأضف تخميداً أو مرشّحاً.</t>
  </si>
  <si>
    <t xml:space="preserve">Gain; PID Controller; Natural Frequency</t>
  </si>
  <si>
    <t xml:space="preserve">S2-CTRL-016; S2-CTRL-020; S2-DYNM-005</t>
  </si>
  <si>
    <t xml:space="preserve">Motor overheats</t>
  </si>
  <si>
    <t xml:space="preserve">المحرك يسخن بشكل زائد</t>
  </si>
  <si>
    <t xml:space="preserve">Load too heavy, duty cycle too high, poor cooling, or wrong current setting.</t>
  </si>
  <si>
    <t xml:space="preserve">حِمل ثقيل أو دورة تشغيل مرتفعة أو تبريد ضعيف أو إعداد تيار خاطئ.</t>
  </si>
  <si>
    <t xml:space="preserve">Check the load and payload, reduce duty cycle, clean cooling paths, verify the drive current limit.</t>
  </si>
  <si>
    <t xml:space="preserve">افحص الحِمل والحمولة، قلّل دورة التشغيل، نظّف مسارات التبريد، وتحقق من حد تيار المشغّل.</t>
  </si>
  <si>
    <t xml:space="preserve">Duty Cycle; Payload – Maximum; Motor Driver</t>
  </si>
  <si>
    <t xml:space="preserve">S3-ELEC-002; S6-SPEC-002; S3-ELEC-003</t>
  </si>
  <si>
    <t xml:space="preserve">S7-TRBL-004</t>
  </si>
  <si>
    <t xml:space="preserve">Stepper motor skips steps</t>
  </si>
  <si>
    <t xml:space="preserve">المحرك الخطوي يفقد خطوات</t>
  </si>
  <si>
    <t xml:space="preserve">Torque too low, acceleration too high, or current set too low.</t>
  </si>
  <si>
    <t xml:space="preserve">عزم منخفض أو تسارع مرتفع أو تيار مضبوط بقيمة منخفضة.</t>
  </si>
  <si>
    <t xml:space="preserve">Lower the acceleration, raise the current within the rating, check holding torque and the load.</t>
  </si>
  <si>
    <t xml:space="preserve">خفّض التسارع، ارفع التيار ضمن القيمة المقننة، وافحص عزم التثبيت والحِمل.</t>
  </si>
  <si>
    <t xml:space="preserve">Stepper Motor; Holding Torque; Open-Loop Control</t>
  </si>
  <si>
    <t xml:space="preserve">S3-ACTU-014; S3-ACTU-005; S2-CTRL-018</t>
  </si>
  <si>
    <t xml:space="preserve">S7-TRBL-005</t>
  </si>
  <si>
    <t xml:space="preserve">Robot stops with an emergency stop or safety fault</t>
  </si>
  <si>
    <t xml:space="preserve">يتوقف الروبوت مع خطأ إيقاف طوارئ أو سلامة</t>
  </si>
  <si>
    <t xml:space="preserve">E-stop pressed, safety door interlock open, or a safety relay fault.</t>
  </si>
  <si>
    <t xml:space="preserve">زر الطوارئ مضغوط أو قفل باب السلامة مفتوح أو عطل في مرحّل السلامة.</t>
  </si>
  <si>
    <t xml:space="preserve">Check all E-stop buttons and door interlocks, make sure the area is clear, reset the safety circuit, then restart.</t>
  </si>
  <si>
    <t xml:space="preserve">افحص كل أزرار الطوارئ وأقفال الأبواب، تأكد أن المنطقة خالية، أعد ضبط دارة السلامة ثم أعد التشغيل.</t>
  </si>
  <si>
    <t xml:space="preserve">Emergency Stop (ESTOP); Interlock; Safeguard</t>
  </si>
  <si>
    <t xml:space="preserve">S6-SAFE-007; S6-SAFE-011; S6-SAFE-018</t>
  </si>
  <si>
    <t xml:space="preserve">Gripper does not hold the part</t>
  </si>
  <si>
    <t xml:space="preserve">القابض لا يمسك القطعة</t>
  </si>
  <si>
    <t xml:space="preserve">Low air pressure, air leak, worn vacuum cup, or wrong gripper settings.</t>
  </si>
  <si>
    <t xml:space="preserve">ضغط هواء منخفض أو تسرب أو كأس تفريغ بالية أو إعدادات قابض خاطئة.</t>
  </si>
  <si>
    <t xml:space="preserve">Check air pressure and hoses, inspect the vacuum cup, test the valve and solenoid, adjust the grip force.</t>
  </si>
  <si>
    <t xml:space="preserve">افحص ضغط الهواء والخراطيم، تفقد كأس التفريغ، اختبر الصمام والملف اللولبي، واضبط قوة الإمساك.</t>
  </si>
  <si>
    <t xml:space="preserve">Gripper; Vacuum Cup Hand; Solenoid; Pneumatics</t>
  </si>
  <si>
    <t xml:space="preserve">S1-TOOL-002; S5-TOOL-006; S3-ACTU-013; S3-ACTU-010</t>
  </si>
  <si>
    <t xml:space="preserve">Sensor gives no signal</t>
  </si>
  <si>
    <t xml:space="preserve">الحساس لا يعطي إشارة</t>
  </si>
  <si>
    <t xml:space="preserve">Wiring fault, no power, misalignment (through-beam), or dirty sensing surface.</t>
  </si>
  <si>
    <t xml:space="preserve">عطل في الأسلاك أو انقطاع الطاقة أو عدم محاذاة (الشعاع العابر) أو سطح استشعار متسخ.</t>
  </si>
  <si>
    <t xml:space="preserve">Check the harness and connectors, measure the supply voltage, realign the emitter and receiver, clean the lens.</t>
  </si>
  <si>
    <t xml:space="preserve">افحص حزمة الأسلاك والموصلات، قِس جهد التغذية، أعد محاذاة المرسل والمستقبل، ونظّف العدسة.</t>
  </si>
  <si>
    <t xml:space="preserve">Sensor; Through-Beam; Harness</t>
  </si>
  <si>
    <t xml:space="preserve">S1-SENS-001; S3-SENS-030; S7-ELTR-001</t>
  </si>
  <si>
    <t xml:space="preserve">Encoder signal is noisy or speed is erratic</t>
  </si>
  <si>
    <t xml:space="preserve">إشارة المُرمِّز مشوّشة أو السرعة غير منتظمة</t>
  </si>
  <si>
    <t xml:space="preserve">Electrical noise, bad shielding or grounding, or damaged cable.</t>
  </si>
  <si>
    <t xml:space="preserve">ضوضاء كهربائية أو حجب وتأريض سيئان أو كابل تالف.</t>
  </si>
  <si>
    <t xml:space="preserve">Check cable shielding and ground connections, separate signal cables from power cables, replace the damaged cable.</t>
  </si>
  <si>
    <t xml:space="preserve">افحص حجب الكابل وتوصيلات التأريض، افصل كابلات الإشارة عن كابلات القدرة، واستبدل الكابل التالف.</t>
  </si>
  <si>
    <t xml:space="preserve">Encoder; Signal; Quadrature encoder</t>
  </si>
  <si>
    <t xml:space="preserve">S3-SENS-005; S1-ELEC-002; S3-SENS-027</t>
  </si>
  <si>
    <t xml:space="preserve">Controller freezes or restarts repeatedly</t>
  </si>
  <si>
    <t xml:space="preserve">المتحكم يتجمّد أو يعيد التشغيل مراراً</t>
  </si>
  <si>
    <t xml:space="preserve">Watchdog resets, firmware bug, or power supply dips.</t>
  </si>
  <si>
    <t xml:space="preserve">إعادة تشغيل من مؤقّت المراقبة أو خلل في البرامج الثابتة أو هبوط في مصدر الطاقة.</t>
  </si>
  <si>
    <t xml:space="preserve">Read the error log, check the power supply voltage, update or restore the firmware, test with the program disabled.</t>
  </si>
  <si>
    <t xml:space="preserve">اقرأ سجل الأخطاء، افحص جهد مصدر الطاقة، حدّث البرامج الثابتة أو استعدها، واختبر مع تعطيل البرنامج.</t>
  </si>
  <si>
    <t xml:space="preserve">Watchdog Timer; Firmware; Controller</t>
  </si>
  <si>
    <t xml:space="preserve">S7-EMBD-001; S4-EMBD-004; S2-CTRL-007</t>
  </si>
  <si>
    <t xml:space="preserve">S7-TRBL-010</t>
  </si>
  <si>
    <t xml:space="preserve">Axis crashes into its end at start-up</t>
  </si>
  <si>
    <t xml:space="preserve">المحور يصطدم بنهايته عند بدء التشغيل</t>
  </si>
  <si>
    <t xml:space="preserve">Limit switch failure, wrong homing direction, or lost reference.</t>
  </si>
  <si>
    <t xml:space="preserve">عطل في المفتاح الحدّي أو اتجاه تصفير خاطئ أو فقدان المرجع.</t>
  </si>
  <si>
    <t xml:space="preserve">Test the limit switch by hand, check the homing direction and speed, verify the switch wiring.</t>
  </si>
  <si>
    <t xml:space="preserve">اختبر المفتاح الحدّي يدوياً، افحص اتجاه التصفير وسرعته، وتحقق من توصيل المفتاح.</t>
  </si>
  <si>
    <t xml:space="preserve">Limit Switch; Homing; Home Position</t>
  </si>
  <si>
    <t xml:space="preserve">S3-SENS-016; S6-MOTN-001; S6-OPER-004</t>
  </si>
  <si>
    <t xml:space="preserve">Motion is jerky or rough</t>
  </si>
  <si>
    <t xml:space="preserve">الحركة متقطعة أو خشنة</t>
  </si>
  <si>
    <t xml:space="preserve">Jerk setting too high, wrong motion profile, worn drive, or poor tuning.</t>
  </si>
  <si>
    <t xml:space="preserve">إعداد ارتجاج مرتفع أو ملف حركة غير مناسب أو مخفض بالٍ أو ضبط ضعيف.</t>
  </si>
  <si>
    <t xml:space="preserve">Adjust the motion profile and jerk limit, inspect the gearbox, retune the control loops.</t>
  </si>
  <si>
    <t xml:space="preserve">اضبط ملف الحركة وحد الارتجاج، افحص علبة التروس، وأعد ضبط حلقات التحكم.</t>
  </si>
  <si>
    <t xml:space="preserve">Jerk; Motion Profile; Drive</t>
  </si>
  <si>
    <t xml:space="preserve">S2-MOTN-006; S2-MOTN-010; S3-MECH-006</t>
  </si>
  <si>
    <t xml:space="preserve">Robot stops or slows near a certain pose</t>
  </si>
  <si>
    <t xml:space="preserve">يتوقف الروبوت أو يبطئ قرب وضعية معينة</t>
  </si>
  <si>
    <t xml:space="preserve">Singularity or a joint limit near the path.</t>
  </si>
  <si>
    <t xml:space="preserve">نقطة تفرّد أو حد مفصل قرب المسار.</t>
  </si>
  <si>
    <t xml:space="preserve">Change the path or arm configuration, use joint motion instead of linear motion, move the part or the robot.</t>
  </si>
  <si>
    <t xml:space="preserve">غيّر المسار أو وضعية الذراع، استخدم الحركة المفصلية بدل الخطية، أو انقل القطعة أو الروبوت.</t>
  </si>
  <si>
    <t xml:space="preserve">Singularity; Joint Space; Configuration</t>
  </si>
  <si>
    <t xml:space="preserve">S7-KINE-001; S2-KINE-013; S2-KINE-005</t>
  </si>
  <si>
    <t xml:space="preserve">S7-TRBL-013</t>
  </si>
  <si>
    <t xml:space="preserve">Robot misses targets after a tool change</t>
  </si>
  <si>
    <t xml:space="preserve">يخطئ الروبوت الأهداف بعد تغيير الأداة</t>
  </si>
  <si>
    <t xml:space="preserve">Tool center point or tool frame was not recalibrated.</t>
  </si>
  <si>
    <t xml:space="preserve">لم تُعاد معايرة نقطة مركز الأداة أو إطار الأداة.</t>
  </si>
  <si>
    <t xml:space="preserve">Recalibrate the TCP and tool frame, check the tool changer lock, re-teach critical points.</t>
  </si>
  <si>
    <t xml:space="preserve">أعد معايرة TCP وإطار الأداة، افحص قفل مُبدِّل الأدوات، وأعد تعليم النقاط الحرجة.</t>
  </si>
  <si>
    <t xml:space="preserve">Communication fault between the robot and the PLC</t>
  </si>
  <si>
    <t xml:space="preserve">عطل اتصال بين الروبوت والـPLC</t>
  </si>
  <si>
    <t xml:space="preserve">Fieldbus cable fault, wrong address, or missing termination.</t>
  </si>
  <si>
    <t xml:space="preserve">عطل كابل ناقل الحقل أو عنوان خاطئ أو غياب الإنهاء.</t>
  </si>
  <si>
    <t xml:space="preserve">Check cables and connectors, verify addresses and settings, check termination, restart the network.</t>
  </si>
  <si>
    <t xml:space="preserve">افحص الكابلات والموصلات، تحقق من العناوين والإعدادات، افحص الإنهاء، وأعد تشغيل الشبكة.</t>
  </si>
  <si>
    <t xml:space="preserve">Fieldbus; Programmable Logic Controller (PLC); Interface</t>
  </si>
  <si>
    <t xml:space="preserve">S5-COMM-001; S5-AUTO-018; S4-COMM-001</t>
  </si>
  <si>
    <t xml:space="preserve">S7-TRBL-015</t>
  </si>
  <si>
    <t xml:space="preserve">Gearbox noise and loss of accuracy</t>
  </si>
  <si>
    <t xml:space="preserve">ضجيج في علبة التروس وفقدان الدقة</t>
  </si>
  <si>
    <t xml:space="preserve">Worn gears, increased backlash, or lack of lubrication.</t>
  </si>
  <si>
    <t xml:space="preserve">تروس بالية أو زيادة الخلوص أو نقص التشحيم.</t>
  </si>
  <si>
    <t xml:space="preserve">Inspect and lubricate, measure backlash, replace the worn gear or drive during planned maintenance.</t>
  </si>
  <si>
    <t xml:space="preserve">افحص وشحّم، قِس الخلوص، واستبدل الترس أو المخفض البالي أثناء صيانة مجدولة.</t>
  </si>
  <si>
    <t xml:space="preserve">Backlash; Drive; Maintenance</t>
  </si>
  <si>
    <t xml:space="preserve">S7-MECH-001; S3-MECH-006; S7-MAIN-003</t>
  </si>
  <si>
    <t xml:space="preserve">Sources &amp; Copyright — المصادر وحقوق النشر</t>
  </si>
  <si>
    <t xml:space="preserve">All three glossaries are the work of their owners. This file is intended for personal study.</t>
  </si>
  <si>
    <t xml:space="preserve">URL</t>
  </si>
  <si>
    <t xml:space="preserve">Terms from this source</t>
  </si>
  <si>
    <t xml:space="preserve">How it was used</t>
  </si>
  <si>
    <t xml:space="preserve">Copyright / usage note</t>
  </si>
  <si>
    <t xml:space="preserve">Productivity Inc – Robotic Glossary of Terms (PDF)</t>
  </si>
  <si>
    <t xml:space="preserve">Terms and short paraphrased definitions (repeated entries were merged into one row).</t>
  </si>
  <si>
    <t xml:space="preserve">© Productivity Inc. Definitions are summarized in our own words, not copied.</t>
  </si>
  <si>
    <t xml:space="preserve">Engineers Universe – Mechatronics Terminology Glossary</t>
  </si>
  <si>
    <t xml:space="preserve">Terms, topic labels and short paraphrased definitions (the page title says 55 but the body lists 74).</t>
  </si>
  <si>
    <t xml:space="preserve">© Engineers Universe. Definitions are summarized in our own words, not copied.</t>
  </si>
  <si>
    <t xml:space="preserve">FutureLearn / University of Reading – Begin Robotics: Glossary of terms (PDF)</t>
  </si>
  <si>
    <t xml:space="preserve">Terms and short paraphrased definitions (120 entries).</t>
  </si>
  <si>
    <t xml:space="preserve">© University of Reading 2015. Definitions are summarized in our own words, not copied.</t>
  </si>
  <si>
    <t xml:space="preserve">Notes / ملاحظات</t>
  </si>
  <si>
    <t xml:space="preserve">• What is original in this file: pronunciation, Arabic meanings and translations, example sentences, categories, difficulty levels, curriculum stages, content IDs, the Interview Q&amp;A and the Troubleshooting Guide.</t>
  </si>
  <si>
    <t xml:space="preserve">• Terms that appear in more than one source are merged into one row; the Source and source_url columns list every source they came from.</t>
  </si>
  <si>
    <t xml:space="preserve">• content_id values are permanent identifiers for the app: do not renumber them; give new terms new IDs. A JSON export (vocabulary_content.json) uses the same IDs.</t>
  </si>
  <si>
    <t xml:space="preserve">• Arabic technical terms can vary between countries and universities. Review them against your own course material before an exam.</t>
  </si>
  <si>
    <t xml:space="preserve">• Keep this file in a private location. If you plan to publish or sell it, ask the source owners for permission or rewrite the definitions yourself.</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</si>
</sst>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FFFFFF"/>
      <name val="Arial"/>
      <family val="0"/>
      <charset val="1"/>
    </font>
    <font>
      <sz val="10"/>
      <name val="Arial"/>
      <family val="0"/>
      <charset val="1"/>
    </font>
    <font>
      <b val="true"/>
      <sz val="10"/>
      <name val="Arial"/>
      <family val="0"/>
      <charset val="1"/>
    </font>
    <font>
      <u val="single"/>
      <sz val="10"/>
      <color rgb="FF0563C1"/>
      <name val="Arial"/>
      <family val="0"/>
      <charset val="1"/>
    </font>
    <font>
      <b val="true"/>
      <sz val="11"/>
      <name val="Arial"/>
      <family val="0"/>
      <charset val="1"/>
    </font>
    <font>
      <b val="true"/>
      <sz val="10"/>
      <color rgb="FF1F3864"/>
      <name val="Arial"/>
      <family val="0"/>
      <charset val="1"/>
    </font>
    <font>
      <b val="true"/>
      <sz val="10"/>
      <color rgb="FF000000"/>
      <name val="Arial"/>
      <family val="0"/>
      <charset val="1"/>
    </font>
    <font>
      <sz val="10"/>
      <color rgb="FF000000"/>
      <name val="Arial"/>
      <family val="0"/>
      <charset val="1"/>
    </font>
    <font>
      <sz val="10"/>
      <color rgb="FF0563C1"/>
      <name val="Arial"/>
      <family val="0"/>
      <charset val="1"/>
    </font>
    <font>
      <b val="true"/>
      <sz val="11"/>
      <color rgb="FF1F3864"/>
      <name val="Arial"/>
      <family val="0"/>
      <charset val="1"/>
    </font>
  </fonts>
  <fills count="15">
    <fill>
      <patternFill patternType="none"/>
    </fill>
    <fill>
      <patternFill patternType="gray125"/>
    </fill>
    <fill>
      <patternFill patternType="solid">
        <fgColor rgb="FF1F3864"/>
        <bgColor rgb="FF333333"/>
      </patternFill>
    </fill>
    <fill>
      <patternFill patternType="solid">
        <fgColor rgb="FFE8F0FE"/>
        <bgColor rgb="FFE0F2F1"/>
      </patternFill>
    </fill>
    <fill>
      <patternFill patternType="solid">
        <fgColor rgb="FFE6F4EA"/>
        <bgColor rgb="FFE0F2F1"/>
      </patternFill>
    </fill>
    <fill>
      <patternFill patternType="solid">
        <fgColor rgb="FFFFF4E5"/>
        <bgColor rgb="FFFFF8E1"/>
      </patternFill>
    </fill>
    <fill>
      <patternFill patternType="solid">
        <fgColor rgb="FFF3E8FD"/>
        <bgColor rgb="FFE8F0FE"/>
      </patternFill>
    </fill>
    <fill>
      <patternFill patternType="solid">
        <fgColor rgb="FFE0F2F1"/>
        <bgColor rgb="FFE6F4EA"/>
      </patternFill>
    </fill>
    <fill>
      <patternFill patternType="solid">
        <fgColor rgb="FFFDECEA"/>
        <bgColor rgb="FFFFF4E5"/>
      </patternFill>
    </fill>
    <fill>
      <patternFill patternType="solid">
        <fgColor rgb="FFFFF8E1"/>
        <bgColor rgb="FFFFF4E5"/>
      </patternFill>
    </fill>
    <fill>
      <patternFill patternType="solid">
        <fgColor rgb="FFD9D9D9"/>
        <bgColor rgb="FFD9EAD3"/>
      </patternFill>
    </fill>
    <fill>
      <patternFill patternType="solid">
        <fgColor rgb="FFD9EAD3"/>
        <bgColor rgb="FFE0F2F1"/>
      </patternFill>
    </fill>
    <fill>
      <patternFill patternType="solid">
        <fgColor rgb="FFFFD9B3"/>
        <bgColor rgb="FFF4CCCC"/>
      </patternFill>
    </fill>
    <fill>
      <patternFill patternType="solid">
        <fgColor rgb="FFFFF2CC"/>
        <bgColor rgb="FFFFF8E1"/>
      </patternFill>
    </fill>
    <fill>
      <patternFill patternType="solid">
        <fgColor rgb="FFF4CCCC"/>
        <bgColor rgb="FFFFD9B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right" vertical="center" textRotation="0" wrapText="true" indent="0" shrinkToFit="false" readingOrder="2"/>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right" vertical="center" textRotation="0" wrapText="true" indent="0" shrinkToFit="false" readingOrder="2"/>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right" vertical="center" textRotation="0" wrapText="true" indent="0" shrinkToFit="false" readingOrder="2"/>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right" vertical="center" textRotation="0" wrapText="true" indent="0" shrinkToFit="false" readingOrder="2"/>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right" vertical="center" textRotation="0" wrapText="true" indent="0" shrinkToFit="false" readingOrder="2"/>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right" vertical="center" textRotation="0" wrapText="true" indent="0" shrinkToFit="false" readingOrder="2"/>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right" vertical="center" textRotation="0" wrapText="true" indent="0" shrinkToFit="false" readingOrder="2"/>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right" vertical="center" textRotation="0" wrapText="true" indent="0" shrinkToFit="false" readingOrder="2"/>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right" vertical="center" textRotation="0" wrapText="true" indent="0" shrinkToFit="false" readingOrder="2"/>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right" vertical="center" textRotation="0" wrapText="true" indent="0" shrinkToFit="false" readingOrder="2"/>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right" vertical="center" textRotation="0" wrapText="true" indent="0" shrinkToFit="false" readingOrder="2"/>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right" vertical="center" textRotation="0" wrapText="true" indent="0" shrinkToFit="false" readingOrder="2"/>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right" vertical="center" textRotation="0" wrapText="true" indent="0" shrinkToFit="false" readingOrder="2"/>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right" vertical="center" textRotation="0" wrapText="true" indent="0" shrinkToFit="false" readingOrder="2"/>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10" fillId="10" borderId="1" xfId="0" applyFont="true" applyBorder="true" applyAlignment="true" applyProtection="false">
      <alignment horizontal="center" vertical="bottom" textRotation="0" wrapText="false" indent="0" shrinkToFit="false"/>
      <protection locked="true" hidden="false"/>
    </xf>
    <xf numFmtId="164" fontId="10" fillId="10" borderId="1" xfId="0" applyFont="true" applyBorder="true" applyAlignment="true" applyProtection="false">
      <alignment horizontal="right" vertical="bottom" textRotation="0" wrapText="false" indent="0" shrinkToFit="false" readingOrder="2"/>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right" vertical="top" textRotation="0" wrapText="true" indent="0" shrinkToFit="false" readingOrder="2"/>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3" fillId="11" borderId="1" xfId="0" applyFont="true" applyBorder="true" applyAlignment="true" applyProtection="false">
      <alignment horizontal="center" vertical="top" textRotation="0" wrapText="true" indent="0" shrinkToFit="false"/>
      <protection locked="true" hidden="false"/>
    </xf>
    <xf numFmtId="164" fontId="13" fillId="3" borderId="1" xfId="0" applyFont="true" applyBorder="true" applyAlignment="true" applyProtection="false">
      <alignment horizontal="center" vertical="top" textRotation="0" wrapText="true" indent="0" shrinkToFit="false"/>
      <protection locked="true" hidden="false"/>
    </xf>
    <xf numFmtId="164" fontId="13" fillId="3"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3" fillId="12" borderId="1" xfId="0" applyFont="true" applyBorder="true" applyAlignment="true" applyProtection="false">
      <alignment horizontal="center" vertical="top" textRotation="0" wrapText="true" indent="0" shrinkToFit="false"/>
      <protection locked="true" hidden="false"/>
    </xf>
    <xf numFmtId="164" fontId="13" fillId="13" borderId="1" xfId="0" applyFont="true" applyBorder="true" applyAlignment="true" applyProtection="false">
      <alignment horizontal="center" vertical="top" textRotation="0" wrapText="true" indent="0" shrinkToFit="false"/>
      <protection locked="true" hidden="false"/>
    </xf>
    <xf numFmtId="164" fontId="13" fillId="14" borderId="1" xfId="0" applyFont="true" applyBorder="true" applyAlignment="true" applyProtection="false">
      <alignment horizontal="center"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center" vertical="top" textRotation="0" wrapText="tru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3" fillId="6" borderId="1" xfId="0" applyFont="true" applyBorder="true" applyAlignment="true" applyProtection="false">
      <alignment horizontal="center" vertical="top"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true" indent="0" shrinkToFit="false"/>
      <protection locked="true" hidden="false"/>
    </xf>
    <xf numFmtId="164" fontId="13" fillId="7"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center" vertical="top" textRotation="0" wrapText="true" indent="0" shrinkToFit="false"/>
      <protection locked="true" hidden="false"/>
    </xf>
    <xf numFmtId="164" fontId="13" fillId="8" borderId="1" xfId="0" applyFont="true" applyBorder="true" applyAlignment="true" applyProtection="false">
      <alignment horizontal="left" vertical="top" textRotation="0" wrapText="true" indent="0" shrinkToFit="false"/>
      <protection locked="true" hidden="false"/>
    </xf>
    <xf numFmtId="164" fontId="13" fillId="9" borderId="1" xfId="0" applyFont="true" applyBorder="true" applyAlignment="true" applyProtection="false">
      <alignment horizontal="center" vertical="top" textRotation="0" wrapText="true" indent="0" shrinkToFit="false"/>
      <protection locked="true" hidden="false"/>
    </xf>
    <xf numFmtId="164" fontId="13" fillId="9"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right" vertical="top" textRotation="0" wrapText="true" indent="0" shrinkToFit="false" readingOrder="2"/>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center" vertical="top" textRotation="0" wrapText="true" indent="0" shrinkToFit="false"/>
      <protection locked="true" hidden="false"/>
    </xf>
    <xf numFmtId="164" fontId="7" fillId="13" borderId="1" xfId="0" applyFont="true" applyBorder="true" applyAlignment="true" applyProtection="false">
      <alignment horizontal="center" vertical="top" textRotation="0" wrapText="true" indent="0" shrinkToFit="false"/>
      <protection locked="true" hidden="false"/>
    </xf>
    <xf numFmtId="164" fontId="7" fillId="14"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FF2CC"/>
          <bgColor rgb="FF000000"/>
        </patternFill>
      </fill>
    </dxf>
    <dxf>
      <fill>
        <patternFill patternType="solid">
          <fgColor rgb="FFE0F2F1"/>
          <bgColor rgb="FF000000"/>
        </patternFill>
      </fill>
    </dxf>
    <dxf>
      <fill>
        <patternFill patternType="solid">
          <fgColor rgb="FFE6F4EA"/>
          <bgColor rgb="FF000000"/>
        </patternFill>
      </fill>
    </dxf>
    <dxf>
      <fill>
        <patternFill patternType="solid">
          <fgColor rgb="FFE8F0FE"/>
          <bgColor rgb="FF000000"/>
        </patternFill>
      </fill>
    </dxf>
    <dxf>
      <fill>
        <patternFill patternType="solid">
          <fgColor rgb="FFF3E8FD"/>
          <bgColor rgb="FF000000"/>
        </patternFill>
      </fill>
    </dxf>
    <dxf>
      <fill>
        <patternFill patternType="solid">
          <fgColor rgb="FFFDECEA"/>
          <bgColor rgb="FF000000"/>
        </patternFill>
      </fill>
    </dxf>
    <dxf>
      <fill>
        <patternFill patternType="solid">
          <fgColor rgb="FFFFF4E5"/>
          <bgColor rgb="FF000000"/>
        </patternFill>
      </fill>
    </dxf>
    <dxf>
      <fill>
        <patternFill patternType="solid">
          <fgColor rgb="FFFFF8E1"/>
          <bgColor rgb="FF000000"/>
        </patternFill>
      </fill>
    </dxf>
    <dxf>
      <fill>
        <patternFill patternType="solid">
          <fgColor rgb="FFFFD9B3"/>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4E5"/>
      <rgbColor rgb="FFFF00FF"/>
      <rgbColor rgb="FF00FFFF"/>
      <rgbColor rgb="FF800000"/>
      <rgbColor rgb="FF008000"/>
      <rgbColor rgb="FF000080"/>
      <rgbColor rgb="FF808000"/>
      <rgbColor rgb="FF800080"/>
      <rgbColor rgb="FF00897B"/>
      <rgbColor rgb="FFBFBFBF"/>
      <rgbColor rgb="FF808080"/>
      <rgbColor rgb="FF9999FF"/>
      <rgbColor rgb="FF9C27B0"/>
      <rgbColor rgb="FFFFF8E1"/>
      <rgbColor rgb="FFE0F2F1"/>
      <rgbColor rgb="FF660066"/>
      <rgbColor rgb="FFFF8080"/>
      <rgbColor rgb="FF0563C1"/>
      <rgbColor rgb="FFD9D9D9"/>
      <rgbColor rgb="FF000080"/>
      <rgbColor rgb="FFFF00FF"/>
      <rgbColor rgb="FFFDECEA"/>
      <rgbColor rgb="FF00FFFF"/>
      <rgbColor rgb="FF800080"/>
      <rgbColor rgb="FF800000"/>
      <rgbColor rgb="FF008080"/>
      <rgbColor rgb="FF0000FF"/>
      <rgbColor rgb="FF00CCFF"/>
      <rgbColor rgb="FFE6F4EA"/>
      <rgbColor rgb="FFD9EAD3"/>
      <rgbColor rgb="FFFFF2CC"/>
      <rgbColor rgb="FFE8F0FE"/>
      <rgbColor rgb="FFF4CCCC"/>
      <rgbColor rgb="FFF3E8FD"/>
      <rgbColor rgb="FFFFD9B3"/>
      <rgbColor rgb="FF4285F4"/>
      <rgbColor rgb="FF33CCCC"/>
      <rgbColor rgb="FF99CC00"/>
      <rgbColor rgb="FFF9A825"/>
      <rgbColor rgb="FFFB8C00"/>
      <rgbColor rgb="FFE53935"/>
      <rgbColor rgb="FF595959"/>
      <rgbColor rgb="FF969696"/>
      <rgbColor rgb="FF1F3864"/>
      <rgbColor rgb="FF34A853"/>
      <rgbColor rgb="FF003300"/>
      <rgbColor rgb="FF333300"/>
      <rgbColor rgb="FF993300"/>
      <rgbColor rgb="FF6D4C41"/>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echatronics_Robotics_Vocabulary_Complete.xlsx" TargetMode="External"/><Relationship Id="rId2" Type="http://schemas.openxmlformats.org/officeDocument/2006/relationships/hyperlink" Target="Mechatronics_Robotics_Vocabulary_Complete.xlsx" TargetMode="External"/><Relationship Id="rId3" Type="http://schemas.openxmlformats.org/officeDocument/2006/relationships/hyperlink" Target="Mechatronics_Robotics_Vocabulary_Complete.xlsx" TargetMode="External"/><Relationship Id="rId4" Type="http://schemas.openxmlformats.org/officeDocument/2006/relationships/hyperlink" Target="Mechatronics_Robotics_Vocabulary_Complete.xlsx" TargetMode="External"/><Relationship Id="rId5" Type="http://schemas.openxmlformats.org/officeDocument/2006/relationships/hyperlink" Target="Mechatronics_Robotics_Vocabulary_Complete.xlsx" TargetMode="External"/><Relationship Id="rId6" Type="http://schemas.openxmlformats.org/officeDocument/2006/relationships/hyperlink" Target="Mechatronics_Robotics_Vocabulary_Complete.xlsx" TargetMode="External"/><Relationship Id="rId7" Type="http://schemas.openxmlformats.org/officeDocument/2006/relationships/hyperlink" Target="Mechatronics_Robotics_Vocabulary_Complete.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hyperlink" Target="https://www.productivity.com/wp-content/uploads/2015/04/PI_RoboticGlossaryTerms.pdf" TargetMode="External"/><Relationship Id="rId2" Type="http://schemas.openxmlformats.org/officeDocument/2006/relationships/hyperlink" Target="https://engineersuniverse.com/studios/mechatronics/mechatronics-terminology-glossary" TargetMode="External"/><Relationship Id="rId3" Type="http://schemas.openxmlformats.org/officeDocument/2006/relationships/hyperlink" Target="https://ugc.futurelearn.com/uploads/files/7a/0f/7a0fcf86-09f0-4ebf-a134-02b1290a950e/Glossary.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30"/>
    <col collapsed="false" customWidth="true" hidden="false" outlineLevel="0" max="5" min="4" style="0" width="52"/>
    <col collapsed="false" customWidth="true" hidden="false" outlineLevel="0" max="6" min="6" style="0" width="9"/>
    <col collapsed="false" customWidth="true" hidden="false" outlineLevel="0" max="7" min="7" style="0" width="11"/>
    <col collapsed="false" customWidth="true" hidden="false" outlineLevel="0" max="8" min="8" style="0" width="13"/>
    <col collapsed="false" customWidth="true" hidden="false" outlineLevel="0" max="9" min="9" style="0" width="11"/>
    <col collapsed="false" customWidth="true" hidden="false" outlineLevel="0" max="10" min="10" style="0" width="28"/>
  </cols>
  <sheetData>
    <row r="1" customFormat="false" ht="17.15" hidden="false" customHeight="false" outlineLevel="0" collapsed="false">
      <c r="A1" s="1" t="s">
        <v>0</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4" customFormat="false" ht="30" hidden="false" customHeight="true" outlineLevel="0" collapsed="false">
      <c r="A4" s="3" t="s">
        <v>2</v>
      </c>
      <c r="B4" s="3" t="s">
        <v>3</v>
      </c>
      <c r="C4" s="3" t="s">
        <v>4</v>
      </c>
      <c r="D4" s="3" t="s">
        <v>5</v>
      </c>
      <c r="E4" s="3" t="s">
        <v>6</v>
      </c>
      <c r="F4" s="3" t="s">
        <v>7</v>
      </c>
      <c r="G4" s="3" t="s">
        <v>8</v>
      </c>
      <c r="H4" s="3" t="s">
        <v>9</v>
      </c>
      <c r="I4" s="3" t="s">
        <v>10</v>
      </c>
      <c r="J4" s="3" t="s">
        <v>11</v>
      </c>
    </row>
    <row r="5" customFormat="false" ht="33.75" hidden="false" customHeight="true" outlineLevel="0" collapsed="false">
      <c r="A5" s="4" t="n">
        <v>1</v>
      </c>
      <c r="B5" s="5" t="s">
        <v>12</v>
      </c>
      <c r="C5" s="6" t="s">
        <v>13</v>
      </c>
      <c r="D5" s="7" t="s">
        <v>14</v>
      </c>
      <c r="E5" s="8" t="s">
        <v>15</v>
      </c>
      <c r="F5" s="4" t="n">
        <f aca="false">COUNTIF('All Terms'!$M$5:$M$436,A5)</f>
        <v>100</v>
      </c>
      <c r="G5" s="4" t="n">
        <f aca="false">COUNTIFS('All Terms'!$M$5:$M$436,$A5,'All Terms'!$L$5:$L$436,"Beginner")</f>
        <v>58</v>
      </c>
      <c r="H5" s="4" t="n">
        <f aca="false">COUNTIFS('All Terms'!$M$5:$M$436,$A5,'All Terms'!$L$5:$L$436,"Intermediate")</f>
        <v>12</v>
      </c>
      <c r="I5" s="4" t="n">
        <f aca="false">COUNTIFS('All Terms'!$M$5:$M$436,$A5,'All Terms'!$L$5:$L$436,"Advanced")</f>
        <v>30</v>
      </c>
      <c r="J5" s="9" t="s">
        <v>16</v>
      </c>
    </row>
    <row r="6" customFormat="false" ht="33.75" hidden="false" customHeight="true" outlineLevel="0" collapsed="false">
      <c r="A6" s="10" t="n">
        <v>2</v>
      </c>
      <c r="B6" s="11" t="s">
        <v>17</v>
      </c>
      <c r="C6" s="12" t="s">
        <v>18</v>
      </c>
      <c r="D6" s="13" t="s">
        <v>19</v>
      </c>
      <c r="E6" s="14" t="s">
        <v>20</v>
      </c>
      <c r="F6" s="10" t="n">
        <f aca="false">COUNTIF('All Terms'!$M$5:$M$436,A6)</f>
        <v>110</v>
      </c>
      <c r="G6" s="10" t="n">
        <f aca="false">COUNTIFS('All Terms'!$M$5:$M$436,$A6,'All Terms'!$L$5:$L$436,"Beginner")</f>
        <v>16</v>
      </c>
      <c r="H6" s="10" t="n">
        <f aca="false">COUNTIFS('All Terms'!$M$5:$M$436,$A6,'All Terms'!$L$5:$L$436,"Intermediate")</f>
        <v>39</v>
      </c>
      <c r="I6" s="10" t="n">
        <f aca="false">COUNTIFS('All Terms'!$M$5:$M$436,$A6,'All Terms'!$L$5:$L$436,"Advanced")</f>
        <v>55</v>
      </c>
      <c r="J6" s="15" t="s">
        <v>21</v>
      </c>
    </row>
    <row r="7" customFormat="false" ht="33.75" hidden="false" customHeight="true" outlineLevel="0" collapsed="false">
      <c r="A7" s="16" t="n">
        <v>3</v>
      </c>
      <c r="B7" s="17" t="s">
        <v>22</v>
      </c>
      <c r="C7" s="18" t="s">
        <v>23</v>
      </c>
      <c r="D7" s="19" t="s">
        <v>24</v>
      </c>
      <c r="E7" s="20" t="s">
        <v>25</v>
      </c>
      <c r="F7" s="16" t="n">
        <f aca="false">COUNTIF('All Terms'!$M$5:$M$436,A7)</f>
        <v>76</v>
      </c>
      <c r="G7" s="16" t="n">
        <f aca="false">COUNTIFS('All Terms'!$M$5:$M$436,$A7,'All Terms'!$L$5:$L$436,"Beginner")</f>
        <v>20</v>
      </c>
      <c r="H7" s="16" t="n">
        <f aca="false">COUNTIFS('All Terms'!$M$5:$M$436,$A7,'All Terms'!$L$5:$L$436,"Intermediate")</f>
        <v>35</v>
      </c>
      <c r="I7" s="16" t="n">
        <f aca="false">COUNTIFS('All Terms'!$M$5:$M$436,$A7,'All Terms'!$L$5:$L$436,"Advanced")</f>
        <v>21</v>
      </c>
      <c r="J7" s="21" t="s">
        <v>26</v>
      </c>
    </row>
    <row r="8" customFormat="false" ht="33.75" hidden="false" customHeight="true" outlineLevel="0" collapsed="false">
      <c r="A8" s="22" t="n">
        <v>4</v>
      </c>
      <c r="B8" s="23" t="s">
        <v>27</v>
      </c>
      <c r="C8" s="24" t="s">
        <v>28</v>
      </c>
      <c r="D8" s="25" t="s">
        <v>29</v>
      </c>
      <c r="E8" s="26" t="s">
        <v>30</v>
      </c>
      <c r="F8" s="22" t="n">
        <f aca="false">COUNTIF('All Terms'!$M$5:$M$436,A8)</f>
        <v>29</v>
      </c>
      <c r="G8" s="22" t="n">
        <f aca="false">COUNTIFS('All Terms'!$M$5:$M$436,$A8,'All Terms'!$L$5:$L$436,"Beginner")</f>
        <v>9</v>
      </c>
      <c r="H8" s="22" t="n">
        <f aca="false">COUNTIFS('All Terms'!$M$5:$M$436,$A8,'All Terms'!$L$5:$L$436,"Intermediate")</f>
        <v>12</v>
      </c>
      <c r="I8" s="22" t="n">
        <f aca="false">COUNTIFS('All Terms'!$M$5:$M$436,$A8,'All Terms'!$L$5:$L$436,"Advanced")</f>
        <v>8</v>
      </c>
      <c r="J8" s="27" t="s">
        <v>31</v>
      </c>
    </row>
    <row r="9" customFormat="false" ht="33.75" hidden="false" customHeight="true" outlineLevel="0" collapsed="false">
      <c r="A9" s="28" t="n">
        <v>5</v>
      </c>
      <c r="B9" s="29" t="s">
        <v>32</v>
      </c>
      <c r="C9" s="30" t="s">
        <v>33</v>
      </c>
      <c r="D9" s="31" t="s">
        <v>34</v>
      </c>
      <c r="E9" s="32" t="s">
        <v>35</v>
      </c>
      <c r="F9" s="28" t="n">
        <f aca="false">COUNTIF('All Terms'!$M$5:$M$436,A9)</f>
        <v>52</v>
      </c>
      <c r="G9" s="28" t="n">
        <f aca="false">COUNTIFS('All Terms'!$M$5:$M$436,$A9,'All Terms'!$L$5:$L$436,"Beginner")</f>
        <v>23</v>
      </c>
      <c r="H9" s="28" t="n">
        <f aca="false">COUNTIFS('All Terms'!$M$5:$M$436,$A9,'All Terms'!$L$5:$L$436,"Intermediate")</f>
        <v>23</v>
      </c>
      <c r="I9" s="28" t="n">
        <f aca="false">COUNTIFS('All Terms'!$M$5:$M$436,$A9,'All Terms'!$L$5:$L$436,"Advanced")</f>
        <v>6</v>
      </c>
      <c r="J9" s="33" t="s">
        <v>36</v>
      </c>
    </row>
    <row r="10" customFormat="false" ht="33.75" hidden="false" customHeight="true" outlineLevel="0" collapsed="false">
      <c r="A10" s="34" t="n">
        <v>6</v>
      </c>
      <c r="B10" s="35" t="s">
        <v>37</v>
      </c>
      <c r="C10" s="36" t="s">
        <v>38</v>
      </c>
      <c r="D10" s="37" t="s">
        <v>39</v>
      </c>
      <c r="E10" s="38" t="s">
        <v>40</v>
      </c>
      <c r="F10" s="34" t="n">
        <f aca="false">COUNTIF('All Terms'!$M$5:$M$436,A10)</f>
        <v>49</v>
      </c>
      <c r="G10" s="34" t="n">
        <f aca="false">COUNTIFS('All Terms'!$M$5:$M$436,$A10,'All Terms'!$L$5:$L$436,"Beginner")</f>
        <v>18</v>
      </c>
      <c r="H10" s="34" t="n">
        <f aca="false">COUNTIFS('All Terms'!$M$5:$M$436,$A10,'All Terms'!$L$5:$L$436,"Intermediate")</f>
        <v>21</v>
      </c>
      <c r="I10" s="34" t="n">
        <f aca="false">COUNTIFS('All Terms'!$M$5:$M$436,$A10,'All Terms'!$L$5:$L$436,"Advanced")</f>
        <v>10</v>
      </c>
      <c r="J10" s="39" t="s">
        <v>41</v>
      </c>
    </row>
    <row r="11" customFormat="false" ht="33.75" hidden="false" customHeight="true" outlineLevel="0" collapsed="false">
      <c r="A11" s="40" t="n">
        <v>7</v>
      </c>
      <c r="B11" s="41" t="s">
        <v>42</v>
      </c>
      <c r="C11" s="42" t="s">
        <v>43</v>
      </c>
      <c r="D11" s="43" t="s">
        <v>44</v>
      </c>
      <c r="E11" s="44" t="s">
        <v>45</v>
      </c>
      <c r="F11" s="40" t="n">
        <f aca="false">COUNTIF('All Terms'!$M$5:$M$436,A11)</f>
        <v>16</v>
      </c>
      <c r="G11" s="40" t="n">
        <f aca="false">COUNTIFS('All Terms'!$M$5:$M$436,$A11,'All Terms'!$L$5:$L$436,"Beginner")</f>
        <v>7</v>
      </c>
      <c r="H11" s="40" t="n">
        <f aca="false">COUNTIFS('All Terms'!$M$5:$M$436,$A11,'All Terms'!$L$5:$L$436,"Intermediate")</f>
        <v>5</v>
      </c>
      <c r="I11" s="40" t="n">
        <f aca="false">COUNTIFS('All Terms'!$M$5:$M$436,$A11,'All Terms'!$L$5:$L$436,"Advanced")</f>
        <v>4</v>
      </c>
      <c r="J11" s="45" t="s">
        <v>46</v>
      </c>
    </row>
    <row r="12" customFormat="false" ht="15" hidden="false" customHeight="false" outlineLevel="0" collapsed="false">
      <c r="A12" s="46"/>
      <c r="B12" s="46" t="s">
        <v>47</v>
      </c>
      <c r="C12" s="47" t="s">
        <v>48</v>
      </c>
      <c r="D12" s="46"/>
      <c r="E12" s="46"/>
      <c r="F12" s="46" t="n">
        <f aca="false">SUM(F5:F11)</f>
        <v>432</v>
      </c>
      <c r="G12" s="46" t="n">
        <f aca="false">SUM(G5:G11)</f>
        <v>151</v>
      </c>
      <c r="H12" s="46" t="n">
        <f aca="false">SUM(H5:H11)</f>
        <v>147</v>
      </c>
      <c r="I12" s="46" t="n">
        <f aca="false">SUM(I5:I11)</f>
        <v>134</v>
      </c>
      <c r="J12" s="46"/>
    </row>
    <row r="14" customFormat="false" ht="15" hidden="false" customHeight="false" outlineLevel="0" collapsed="false">
      <c r="B14" s="48" t="s">
        <v>49</v>
      </c>
    </row>
    <row r="15" customFormat="false" ht="15" hidden="false" customHeight="false" outlineLevel="0" collapsed="false">
      <c r="B15" s="49" t="s">
        <v>50</v>
      </c>
      <c r="D15" s="50" t="s">
        <v>51</v>
      </c>
      <c r="E15" s="50"/>
    </row>
    <row r="16" customFormat="false" ht="15" hidden="false" customHeight="false" outlineLevel="0" collapsed="false">
      <c r="B16" s="49" t="s">
        <v>52</v>
      </c>
      <c r="D16" s="50" t="s">
        <v>53</v>
      </c>
      <c r="E16" s="50"/>
    </row>
    <row r="17" customFormat="false" ht="15" hidden="false" customHeight="false" outlineLevel="0" collapsed="false">
      <c r="B17" s="49" t="s">
        <v>54</v>
      </c>
      <c r="D17" s="50" t="s">
        <v>55</v>
      </c>
      <c r="E17" s="50"/>
    </row>
    <row r="18" customFormat="false" ht="15" hidden="false" customHeight="false" outlineLevel="0" collapsed="false">
      <c r="B18" s="49" t="s">
        <v>56</v>
      </c>
      <c r="D18" s="50" t="s">
        <v>57</v>
      </c>
      <c r="E18" s="50"/>
    </row>
    <row r="19" customFormat="false" ht="15" hidden="false" customHeight="false" outlineLevel="0" collapsed="false">
      <c r="B19" s="49" t="s">
        <v>58</v>
      </c>
      <c r="D19" s="50" t="s">
        <v>59</v>
      </c>
      <c r="E19" s="50"/>
    </row>
    <row r="20" customFormat="false" ht="15" hidden="false" customHeight="false" outlineLevel="0" collapsed="false">
      <c r="B20" s="49" t="s">
        <v>60</v>
      </c>
      <c r="D20" s="50" t="s">
        <v>61</v>
      </c>
      <c r="E20" s="50"/>
    </row>
    <row r="21" customFormat="false" ht="15" hidden="false" customHeight="false" outlineLevel="0" collapsed="false">
      <c r="B21" s="49" t="s">
        <v>62</v>
      </c>
      <c r="D21" s="50" t="s">
        <v>63</v>
      </c>
      <c r="E21" s="50"/>
    </row>
    <row r="22" customFormat="false" ht="15" hidden="false" customHeight="false" outlineLevel="0" collapsed="false">
      <c r="B22" s="49" t="s">
        <v>64</v>
      </c>
      <c r="D22" s="50" t="s">
        <v>65</v>
      </c>
      <c r="E22" s="50"/>
    </row>
    <row r="23" customFormat="false" ht="15" hidden="false" customHeight="false" outlineLevel="0" collapsed="false">
      <c r="B23" s="49" t="s">
        <v>66</v>
      </c>
      <c r="D23" s="50" t="s">
        <v>67</v>
      </c>
      <c r="E23" s="50"/>
    </row>
    <row r="24" customFormat="false" ht="15" hidden="false" customHeight="false" outlineLevel="0" collapsed="false">
      <c r="B24" s="49" t="s">
        <v>68</v>
      </c>
      <c r="D24" s="50" t="s">
        <v>69</v>
      </c>
      <c r="E24" s="50"/>
    </row>
    <row r="25" customFormat="false" ht="15" hidden="false" customHeight="false" outlineLevel="0" collapsed="false">
      <c r="B25" s="49" t="s">
        <v>70</v>
      </c>
      <c r="D25" s="50" t="s">
        <v>71</v>
      </c>
      <c r="E25" s="50"/>
    </row>
  </sheetData>
  <mergeCells count="13">
    <mergeCell ref="A1:J1"/>
    <mergeCell ref="A2:J2"/>
    <mergeCell ref="D15:E15"/>
    <mergeCell ref="D16:E16"/>
    <mergeCell ref="D17:E17"/>
    <mergeCell ref="D18:E18"/>
    <mergeCell ref="D19:E19"/>
    <mergeCell ref="D20:E20"/>
    <mergeCell ref="D21:E21"/>
    <mergeCell ref="D22:E22"/>
    <mergeCell ref="D23:E23"/>
    <mergeCell ref="D24:E24"/>
    <mergeCell ref="D25:E25"/>
  </mergeCells>
  <hyperlinks>
    <hyperlink ref="J5" r:id="rId1" location="'S1%20Fundamentals'!A1" display="S1 Fundamentals"/>
    <hyperlink ref="J6" r:id="rId2" location="'S2%20Control%20&amp;%20Motion'!A1" display="S2 Control &amp; Motion"/>
    <hyperlink ref="J7" r:id="rId3" location="'S3%20Motors%20&amp;%20Sensors'!A1" display="S3 Motors &amp; Sensors"/>
    <hyperlink ref="J8" r:id="rId4" location="'S4%20Embedded%20Systems'!A1" display="S4 Embedded Systems"/>
    <hyperlink ref="J9" r:id="rId5" location="'S5%20Industrial%20Automation'!A1" display="S5 Industrial Automation"/>
    <hyperlink ref="J10" r:id="rId6" location="'S6%20Robot%20Operation'!A1" display="S6 Robot Operation"/>
    <hyperlink ref="J11" r:id="rId7" location="'S7%20Troubleshoot%20&amp;%20Interview'!A1" display="S7 Troubleshoot &amp; Interview"/>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4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
    <col collapsed="false" customWidth="true" hidden="false" outlineLevel="0" max="3" min="3" style="0" width="30"/>
    <col collapsed="false" customWidth="true" hidden="false" outlineLevel="0" max="4" min="4" style="0" width="26"/>
    <col collapsed="false" customWidth="true" hidden="false" outlineLevel="0" max="5" min="5" style="0" width="24"/>
    <col collapsed="false" customWidth="true" hidden="false" outlineLevel="0" max="6" min="6" style="0" width="22"/>
    <col collapsed="false" customWidth="true" hidden="false" outlineLevel="0" max="7" min="7" style="0" width="55"/>
    <col collapsed="false" customWidth="true" hidden="false" outlineLevel="0" max="8" min="8" style="0" width="46"/>
    <col collapsed="false" customWidth="true" hidden="false" outlineLevel="0" max="9" min="9" style="0" width="44"/>
    <col collapsed="false" customWidth="true" hidden="false" outlineLevel="0" max="10" min="10" style="0" width="46"/>
    <col collapsed="false" customWidth="true" hidden="false" outlineLevel="0" max="11" min="11" style="0" width="44"/>
    <col collapsed="false" customWidth="true" hidden="false" outlineLevel="0" max="12" min="12" style="0" width="14"/>
    <col collapsed="false" customWidth="true" hidden="false" outlineLevel="0" max="13" min="13" style="0" width="8"/>
    <col collapsed="false" customWidth="true" hidden="false" outlineLevel="0" max="14" min="14" style="0" width="30"/>
    <col collapsed="false" customWidth="true" hidden="false" outlineLevel="0" max="15" min="15" style="0" width="12"/>
    <col collapsed="false" customWidth="true" hidden="false" outlineLevel="0" max="16" min="16" style="0" width="24"/>
    <col collapsed="false" customWidth="true" hidden="false" outlineLevel="0" max="17" min="17" style="0" width="28"/>
    <col collapsed="false" customWidth="true" hidden="false" outlineLevel="0" max="18" min="18" style="0" width="45"/>
    <col collapsed="false" customWidth="true" hidden="false" outlineLevel="0" max="19" min="19" style="0" width="50"/>
  </cols>
  <sheetData>
    <row r="1" customFormat="false" ht="17.15" hidden="false" customHeight="false" outlineLevel="0" collapsed="false">
      <c r="A1" s="1" t="s">
        <v>72</v>
      </c>
      <c r="B1" s="1"/>
      <c r="C1" s="1"/>
      <c r="D1" s="1"/>
      <c r="E1" s="1"/>
      <c r="F1" s="1"/>
      <c r="G1" s="1"/>
      <c r="H1" s="1"/>
      <c r="I1" s="1"/>
      <c r="J1" s="1"/>
      <c r="K1" s="1"/>
      <c r="L1" s="1"/>
      <c r="M1" s="1"/>
      <c r="N1" s="1"/>
      <c r="O1" s="1"/>
      <c r="P1" s="1"/>
      <c r="Q1" s="1"/>
      <c r="R1" s="1"/>
      <c r="S1" s="1"/>
    </row>
    <row r="2" customFormat="false" ht="15" hidden="false" customHeight="false" outlineLevel="0" collapsed="false">
      <c r="A2" s="2" t="s">
        <v>73</v>
      </c>
      <c r="B2" s="2"/>
      <c r="C2" s="2"/>
      <c r="D2" s="2"/>
      <c r="E2" s="2"/>
      <c r="F2" s="2"/>
      <c r="G2" s="2"/>
      <c r="H2" s="2"/>
      <c r="I2" s="2"/>
      <c r="J2" s="2"/>
      <c r="K2" s="2"/>
      <c r="L2" s="2"/>
      <c r="M2" s="2"/>
      <c r="N2" s="2"/>
      <c r="O2" s="2"/>
      <c r="P2" s="2"/>
      <c r="Q2" s="2"/>
      <c r="R2" s="2"/>
      <c r="S2" s="2"/>
    </row>
    <row r="4" customFormat="false" ht="30" hidden="false" customHeight="true" outlineLevel="0" collapsed="false">
      <c r="A4" s="3" t="s">
        <v>50</v>
      </c>
      <c r="B4" s="3" t="s">
        <v>74</v>
      </c>
      <c r="C4" s="3" t="s">
        <v>75</v>
      </c>
      <c r="D4" s="3" t="s">
        <v>76</v>
      </c>
      <c r="E4" s="3" t="s">
        <v>54</v>
      </c>
      <c r="F4" s="3" t="s">
        <v>56</v>
      </c>
      <c r="G4" s="3" t="s">
        <v>58</v>
      </c>
      <c r="H4" s="3" t="s">
        <v>77</v>
      </c>
      <c r="I4" s="3" t="s">
        <v>78</v>
      </c>
      <c r="J4" s="3" t="s">
        <v>79</v>
      </c>
      <c r="K4" s="3" t="s">
        <v>80</v>
      </c>
      <c r="L4" s="3" t="s">
        <v>62</v>
      </c>
      <c r="M4" s="3" t="s">
        <v>2</v>
      </c>
      <c r="N4" s="3" t="s">
        <v>81</v>
      </c>
      <c r="O4" s="3" t="s">
        <v>64</v>
      </c>
      <c r="P4" s="3" t="s">
        <v>66</v>
      </c>
      <c r="Q4" s="3" t="s">
        <v>82</v>
      </c>
      <c r="R4" s="3" t="s">
        <v>83</v>
      </c>
      <c r="S4" s="3" t="s">
        <v>70</v>
      </c>
    </row>
    <row r="5" customFormat="false" ht="35.05" hidden="false" customHeight="false" outlineLevel="0" collapsed="false">
      <c r="A5" s="51" t="s">
        <v>84</v>
      </c>
      <c r="B5" s="51" t="n">
        <v>1</v>
      </c>
      <c r="C5" s="52" t="s">
        <v>85</v>
      </c>
      <c r="D5" s="53" t="s">
        <v>86</v>
      </c>
      <c r="E5" s="54" t="s">
        <v>87</v>
      </c>
      <c r="F5" s="54" t="s">
        <v>88</v>
      </c>
      <c r="G5" s="54" t="s">
        <v>89</v>
      </c>
      <c r="H5" s="54" t="s">
        <v>90</v>
      </c>
      <c r="I5" s="53" t="s">
        <v>91</v>
      </c>
      <c r="J5" s="54" t="s">
        <v>92</v>
      </c>
      <c r="K5" s="53" t="s">
        <v>93</v>
      </c>
      <c r="L5" s="55" t="s">
        <v>8</v>
      </c>
      <c r="M5" s="56" t="n">
        <v>1</v>
      </c>
      <c r="N5" s="57" t="s">
        <v>94</v>
      </c>
      <c r="O5" s="51" t="s">
        <v>95</v>
      </c>
      <c r="P5" s="54"/>
      <c r="Q5" s="54" t="s">
        <v>96</v>
      </c>
      <c r="R5" s="58" t="s">
        <v>97</v>
      </c>
      <c r="S5" s="54" t="s">
        <v>98</v>
      </c>
    </row>
    <row r="6" customFormat="false" ht="46.25" hidden="false" customHeight="false" outlineLevel="0" collapsed="false">
      <c r="A6" s="51" t="s">
        <v>99</v>
      </c>
      <c r="B6" s="51" t="n">
        <v>2</v>
      </c>
      <c r="C6" s="52" t="s">
        <v>100</v>
      </c>
      <c r="D6" s="53" t="s">
        <v>101</v>
      </c>
      <c r="E6" s="54" t="s">
        <v>102</v>
      </c>
      <c r="F6" s="54" t="s">
        <v>103</v>
      </c>
      <c r="G6" s="54" t="s">
        <v>104</v>
      </c>
      <c r="H6" s="54" t="s">
        <v>105</v>
      </c>
      <c r="I6" s="53" t="s">
        <v>106</v>
      </c>
      <c r="J6" s="54" t="s">
        <v>107</v>
      </c>
      <c r="K6" s="53" t="s">
        <v>108</v>
      </c>
      <c r="L6" s="55" t="s">
        <v>8</v>
      </c>
      <c r="M6" s="56" t="n">
        <v>1</v>
      </c>
      <c r="N6" s="57" t="s">
        <v>94</v>
      </c>
      <c r="O6" s="51" t="s">
        <v>95</v>
      </c>
      <c r="P6" s="54"/>
      <c r="Q6" s="54" t="s">
        <v>109</v>
      </c>
      <c r="R6" s="58" t="s">
        <v>110</v>
      </c>
      <c r="S6" s="54" t="s">
        <v>98</v>
      </c>
    </row>
    <row r="7" customFormat="false" ht="35.05" hidden="false" customHeight="false" outlineLevel="0" collapsed="false">
      <c r="A7" s="51" t="s">
        <v>111</v>
      </c>
      <c r="B7" s="51" t="n">
        <v>3</v>
      </c>
      <c r="C7" s="52" t="s">
        <v>112</v>
      </c>
      <c r="D7" s="53" t="s">
        <v>113</v>
      </c>
      <c r="E7" s="54" t="s">
        <v>114</v>
      </c>
      <c r="F7" s="54" t="s">
        <v>115</v>
      </c>
      <c r="G7" s="54" t="s">
        <v>116</v>
      </c>
      <c r="H7" s="54" t="s">
        <v>117</v>
      </c>
      <c r="I7" s="53" t="s">
        <v>118</v>
      </c>
      <c r="J7" s="54" t="s">
        <v>119</v>
      </c>
      <c r="K7" s="53" t="s">
        <v>120</v>
      </c>
      <c r="L7" s="55" t="s">
        <v>8</v>
      </c>
      <c r="M7" s="56" t="n">
        <v>1</v>
      </c>
      <c r="N7" s="57" t="s">
        <v>94</v>
      </c>
      <c r="O7" s="51" t="s">
        <v>95</v>
      </c>
      <c r="P7" s="54"/>
      <c r="Q7" s="54" t="s">
        <v>96</v>
      </c>
      <c r="R7" s="58" t="s">
        <v>97</v>
      </c>
      <c r="S7" s="54" t="s">
        <v>98</v>
      </c>
    </row>
    <row r="8" customFormat="false" ht="35.05" hidden="false" customHeight="false" outlineLevel="0" collapsed="false">
      <c r="A8" s="51" t="s">
        <v>121</v>
      </c>
      <c r="B8" s="51" t="n">
        <v>4</v>
      </c>
      <c r="C8" s="52" t="s">
        <v>122</v>
      </c>
      <c r="D8" s="53" t="s">
        <v>123</v>
      </c>
      <c r="E8" s="54" t="s">
        <v>124</v>
      </c>
      <c r="F8" s="54" t="s">
        <v>125</v>
      </c>
      <c r="G8" s="54" t="s">
        <v>126</v>
      </c>
      <c r="H8" s="54" t="s">
        <v>127</v>
      </c>
      <c r="I8" s="53" t="s">
        <v>128</v>
      </c>
      <c r="J8" s="54" t="s">
        <v>129</v>
      </c>
      <c r="K8" s="53" t="s">
        <v>130</v>
      </c>
      <c r="L8" s="55" t="s">
        <v>8</v>
      </c>
      <c r="M8" s="56" t="n">
        <v>1</v>
      </c>
      <c r="N8" s="57" t="s">
        <v>94</v>
      </c>
      <c r="O8" s="51" t="s">
        <v>95</v>
      </c>
      <c r="P8" s="54"/>
      <c r="Q8" s="54" t="s">
        <v>131</v>
      </c>
      <c r="R8" s="58" t="s">
        <v>132</v>
      </c>
      <c r="S8" s="54" t="s">
        <v>98</v>
      </c>
    </row>
    <row r="9" customFormat="false" ht="35.05" hidden="false" customHeight="false" outlineLevel="0" collapsed="false">
      <c r="A9" s="51" t="s">
        <v>133</v>
      </c>
      <c r="B9" s="51" t="n">
        <v>5</v>
      </c>
      <c r="C9" s="52" t="s">
        <v>134</v>
      </c>
      <c r="D9" s="53" t="s">
        <v>135</v>
      </c>
      <c r="E9" s="54" t="s">
        <v>136</v>
      </c>
      <c r="F9" s="54" t="s">
        <v>137</v>
      </c>
      <c r="G9" s="54" t="s">
        <v>138</v>
      </c>
      <c r="H9" s="54" t="s">
        <v>139</v>
      </c>
      <c r="I9" s="53" t="s">
        <v>140</v>
      </c>
      <c r="J9" s="54" t="s">
        <v>141</v>
      </c>
      <c r="K9" s="53" t="s">
        <v>142</v>
      </c>
      <c r="L9" s="55" t="s">
        <v>8</v>
      </c>
      <c r="M9" s="56" t="n">
        <v>1</v>
      </c>
      <c r="N9" s="57" t="s">
        <v>94</v>
      </c>
      <c r="O9" s="51" t="s">
        <v>95</v>
      </c>
      <c r="P9" s="54"/>
      <c r="Q9" s="54" t="s">
        <v>96</v>
      </c>
      <c r="R9" s="58" t="s">
        <v>97</v>
      </c>
      <c r="S9" s="54" t="s">
        <v>98</v>
      </c>
    </row>
    <row r="10" customFormat="false" ht="46.25" hidden="false" customHeight="false" outlineLevel="0" collapsed="false">
      <c r="A10" s="51" t="s">
        <v>143</v>
      </c>
      <c r="B10" s="51" t="n">
        <v>6</v>
      </c>
      <c r="C10" s="52" t="s">
        <v>144</v>
      </c>
      <c r="D10" s="53" t="s">
        <v>145</v>
      </c>
      <c r="E10" s="54" t="s">
        <v>146</v>
      </c>
      <c r="F10" s="54" t="s">
        <v>115</v>
      </c>
      <c r="G10" s="54" t="s">
        <v>147</v>
      </c>
      <c r="H10" s="54" t="s">
        <v>148</v>
      </c>
      <c r="I10" s="53" t="s">
        <v>149</v>
      </c>
      <c r="J10" s="54" t="s">
        <v>150</v>
      </c>
      <c r="K10" s="53" t="s">
        <v>151</v>
      </c>
      <c r="L10" s="55" t="s">
        <v>8</v>
      </c>
      <c r="M10" s="56" t="n">
        <v>1</v>
      </c>
      <c r="N10" s="57" t="s">
        <v>94</v>
      </c>
      <c r="O10" s="51" t="s">
        <v>95</v>
      </c>
      <c r="P10" s="54"/>
      <c r="Q10" s="54" t="s">
        <v>109</v>
      </c>
      <c r="R10" s="58" t="s">
        <v>110</v>
      </c>
      <c r="S10" s="54" t="s">
        <v>98</v>
      </c>
    </row>
    <row r="11" customFormat="false" ht="35.05" hidden="false" customHeight="false" outlineLevel="0" collapsed="false">
      <c r="A11" s="51" t="s">
        <v>152</v>
      </c>
      <c r="B11" s="51" t="n">
        <v>7</v>
      </c>
      <c r="C11" s="52" t="s">
        <v>153</v>
      </c>
      <c r="D11" s="53" t="s">
        <v>154</v>
      </c>
      <c r="E11" s="54" t="s">
        <v>155</v>
      </c>
      <c r="F11" s="54" t="s">
        <v>88</v>
      </c>
      <c r="G11" s="54" t="s">
        <v>156</v>
      </c>
      <c r="H11" s="54" t="s">
        <v>157</v>
      </c>
      <c r="I11" s="53" t="s">
        <v>158</v>
      </c>
      <c r="J11" s="54" t="s">
        <v>159</v>
      </c>
      <c r="K11" s="53" t="s">
        <v>160</v>
      </c>
      <c r="L11" s="55" t="s">
        <v>8</v>
      </c>
      <c r="M11" s="56" t="n">
        <v>1</v>
      </c>
      <c r="N11" s="57" t="s">
        <v>94</v>
      </c>
      <c r="O11" s="59" t="s">
        <v>161</v>
      </c>
      <c r="P11" s="54" t="s">
        <v>162</v>
      </c>
      <c r="Q11" s="54" t="s">
        <v>131</v>
      </c>
      <c r="R11" s="58" t="s">
        <v>132</v>
      </c>
      <c r="S11" s="54" t="s">
        <v>98</v>
      </c>
    </row>
    <row r="12" customFormat="false" ht="35.05" hidden="false" customHeight="false" outlineLevel="0" collapsed="false">
      <c r="A12" s="51" t="s">
        <v>163</v>
      </c>
      <c r="B12" s="51" t="n">
        <v>8</v>
      </c>
      <c r="C12" s="52" t="s">
        <v>164</v>
      </c>
      <c r="D12" s="53" t="s">
        <v>165</v>
      </c>
      <c r="E12" s="54" t="s">
        <v>166</v>
      </c>
      <c r="F12" s="54" t="s">
        <v>125</v>
      </c>
      <c r="G12" s="54" t="s">
        <v>167</v>
      </c>
      <c r="H12" s="54" t="s">
        <v>168</v>
      </c>
      <c r="I12" s="53" t="s">
        <v>169</v>
      </c>
      <c r="J12" s="54" t="s">
        <v>170</v>
      </c>
      <c r="K12" s="53" t="s">
        <v>171</v>
      </c>
      <c r="L12" s="55" t="s">
        <v>8</v>
      </c>
      <c r="M12" s="56" t="n">
        <v>1</v>
      </c>
      <c r="N12" s="57" t="s">
        <v>94</v>
      </c>
      <c r="O12" s="51" t="s">
        <v>95</v>
      </c>
      <c r="P12" s="54"/>
      <c r="Q12" s="54" t="s">
        <v>131</v>
      </c>
      <c r="R12" s="58" t="s">
        <v>132</v>
      </c>
      <c r="S12" s="54" t="s">
        <v>98</v>
      </c>
    </row>
    <row r="13" customFormat="false" ht="35.05" hidden="false" customHeight="false" outlineLevel="0" collapsed="false">
      <c r="A13" s="51" t="s">
        <v>172</v>
      </c>
      <c r="B13" s="51" t="n">
        <v>9</v>
      </c>
      <c r="C13" s="52" t="s">
        <v>173</v>
      </c>
      <c r="D13" s="53" t="s">
        <v>174</v>
      </c>
      <c r="E13" s="54" t="s">
        <v>175</v>
      </c>
      <c r="F13" s="54" t="s">
        <v>176</v>
      </c>
      <c r="G13" s="54" t="s">
        <v>177</v>
      </c>
      <c r="H13" s="54" t="s">
        <v>178</v>
      </c>
      <c r="I13" s="53" t="s">
        <v>179</v>
      </c>
      <c r="J13" s="54" t="s">
        <v>180</v>
      </c>
      <c r="K13" s="53" t="s">
        <v>181</v>
      </c>
      <c r="L13" s="55" t="s">
        <v>8</v>
      </c>
      <c r="M13" s="56" t="n">
        <v>1</v>
      </c>
      <c r="N13" s="57" t="s">
        <v>94</v>
      </c>
      <c r="O13" s="51" t="s">
        <v>95</v>
      </c>
      <c r="P13" s="54"/>
      <c r="Q13" s="54" t="s">
        <v>131</v>
      </c>
      <c r="R13" s="58" t="s">
        <v>132</v>
      </c>
      <c r="S13" s="54" t="s">
        <v>98</v>
      </c>
    </row>
    <row r="14" customFormat="false" ht="35.05" hidden="false" customHeight="false" outlineLevel="0" collapsed="false">
      <c r="A14" s="51" t="s">
        <v>182</v>
      </c>
      <c r="B14" s="51" t="n">
        <v>10</v>
      </c>
      <c r="C14" s="52" t="s">
        <v>183</v>
      </c>
      <c r="D14" s="53" t="s">
        <v>184</v>
      </c>
      <c r="E14" s="54" t="s">
        <v>185</v>
      </c>
      <c r="F14" s="54" t="s">
        <v>115</v>
      </c>
      <c r="G14" s="54" t="s">
        <v>186</v>
      </c>
      <c r="H14" s="54" t="s">
        <v>187</v>
      </c>
      <c r="I14" s="53" t="s">
        <v>188</v>
      </c>
      <c r="J14" s="54" t="s">
        <v>189</v>
      </c>
      <c r="K14" s="53" t="s">
        <v>190</v>
      </c>
      <c r="L14" s="55" t="s">
        <v>8</v>
      </c>
      <c r="M14" s="56" t="n">
        <v>1</v>
      </c>
      <c r="N14" s="57" t="s">
        <v>94</v>
      </c>
      <c r="O14" s="51" t="s">
        <v>95</v>
      </c>
      <c r="P14" s="54"/>
      <c r="Q14" s="54" t="s">
        <v>131</v>
      </c>
      <c r="R14" s="58" t="s">
        <v>132</v>
      </c>
      <c r="S14" s="54" t="s">
        <v>98</v>
      </c>
    </row>
    <row r="15" customFormat="false" ht="35.05" hidden="false" customHeight="false" outlineLevel="0" collapsed="false">
      <c r="A15" s="51" t="s">
        <v>191</v>
      </c>
      <c r="B15" s="51" t="n">
        <v>11</v>
      </c>
      <c r="C15" s="52" t="s">
        <v>192</v>
      </c>
      <c r="D15" s="53" t="s">
        <v>193</v>
      </c>
      <c r="E15" s="54" t="s">
        <v>194</v>
      </c>
      <c r="F15" s="54" t="s">
        <v>125</v>
      </c>
      <c r="G15" s="54" t="s">
        <v>195</v>
      </c>
      <c r="H15" s="54" t="s">
        <v>196</v>
      </c>
      <c r="I15" s="53" t="s">
        <v>197</v>
      </c>
      <c r="J15" s="54" t="s">
        <v>198</v>
      </c>
      <c r="K15" s="53" t="s">
        <v>199</v>
      </c>
      <c r="L15" s="55" t="s">
        <v>8</v>
      </c>
      <c r="M15" s="56" t="n">
        <v>1</v>
      </c>
      <c r="N15" s="57" t="s">
        <v>94</v>
      </c>
      <c r="O15" s="51" t="s">
        <v>95</v>
      </c>
      <c r="P15" s="54"/>
      <c r="Q15" s="54" t="s">
        <v>131</v>
      </c>
      <c r="R15" s="58" t="s">
        <v>132</v>
      </c>
      <c r="S15" s="54" t="s">
        <v>98</v>
      </c>
    </row>
    <row r="16" customFormat="false" ht="35.05" hidden="false" customHeight="false" outlineLevel="0" collapsed="false">
      <c r="A16" s="51" t="s">
        <v>200</v>
      </c>
      <c r="B16" s="51" t="n">
        <v>12</v>
      </c>
      <c r="C16" s="52" t="s">
        <v>201</v>
      </c>
      <c r="D16" s="53" t="s">
        <v>202</v>
      </c>
      <c r="E16" s="54" t="s">
        <v>203</v>
      </c>
      <c r="F16" s="54" t="s">
        <v>88</v>
      </c>
      <c r="G16" s="54" t="s">
        <v>204</v>
      </c>
      <c r="H16" s="54" t="s">
        <v>205</v>
      </c>
      <c r="I16" s="53" t="s">
        <v>206</v>
      </c>
      <c r="J16" s="54" t="s">
        <v>207</v>
      </c>
      <c r="K16" s="53" t="s">
        <v>208</v>
      </c>
      <c r="L16" s="55" t="s">
        <v>8</v>
      </c>
      <c r="M16" s="56" t="n">
        <v>1</v>
      </c>
      <c r="N16" s="57" t="s">
        <v>94</v>
      </c>
      <c r="O16" s="51" t="s">
        <v>95</v>
      </c>
      <c r="P16" s="54"/>
      <c r="Q16" s="54" t="s">
        <v>96</v>
      </c>
      <c r="R16" s="58" t="s">
        <v>97</v>
      </c>
      <c r="S16" s="54" t="s">
        <v>98</v>
      </c>
    </row>
    <row r="17" customFormat="false" ht="35.05" hidden="false" customHeight="false" outlineLevel="0" collapsed="false">
      <c r="A17" s="51" t="s">
        <v>209</v>
      </c>
      <c r="B17" s="51" t="n">
        <v>13</v>
      </c>
      <c r="C17" s="52" t="s">
        <v>210</v>
      </c>
      <c r="D17" s="53" t="s">
        <v>211</v>
      </c>
      <c r="E17" s="54" t="s">
        <v>212</v>
      </c>
      <c r="F17" s="54" t="s">
        <v>115</v>
      </c>
      <c r="G17" s="54" t="s">
        <v>213</v>
      </c>
      <c r="H17" s="54" t="s">
        <v>214</v>
      </c>
      <c r="I17" s="53" t="s">
        <v>215</v>
      </c>
      <c r="J17" s="54" t="s">
        <v>216</v>
      </c>
      <c r="K17" s="53" t="s">
        <v>217</v>
      </c>
      <c r="L17" s="55" t="s">
        <v>8</v>
      </c>
      <c r="M17" s="56" t="n">
        <v>1</v>
      </c>
      <c r="N17" s="57" t="s">
        <v>94</v>
      </c>
      <c r="O17" s="51" t="s">
        <v>95</v>
      </c>
      <c r="P17" s="54"/>
      <c r="Q17" s="54" t="s">
        <v>96</v>
      </c>
      <c r="R17" s="58" t="s">
        <v>97</v>
      </c>
      <c r="S17" s="54" t="s">
        <v>98</v>
      </c>
    </row>
    <row r="18" customFormat="false" ht="35.05" hidden="false" customHeight="false" outlineLevel="0" collapsed="false">
      <c r="A18" s="51" t="s">
        <v>218</v>
      </c>
      <c r="B18" s="51" t="n">
        <v>14</v>
      </c>
      <c r="C18" s="52" t="s">
        <v>219</v>
      </c>
      <c r="D18" s="53" t="s">
        <v>220</v>
      </c>
      <c r="E18" s="54" t="s">
        <v>221</v>
      </c>
      <c r="F18" s="54" t="s">
        <v>222</v>
      </c>
      <c r="G18" s="54" t="s">
        <v>223</v>
      </c>
      <c r="H18" s="54" t="s">
        <v>224</v>
      </c>
      <c r="I18" s="53" t="s">
        <v>225</v>
      </c>
      <c r="J18" s="54" t="s">
        <v>226</v>
      </c>
      <c r="K18" s="53" t="s">
        <v>227</v>
      </c>
      <c r="L18" s="55" t="s">
        <v>8</v>
      </c>
      <c r="M18" s="56" t="n">
        <v>1</v>
      </c>
      <c r="N18" s="57" t="s">
        <v>94</v>
      </c>
      <c r="O18" s="51" t="s">
        <v>95</v>
      </c>
      <c r="P18" s="54"/>
      <c r="Q18" s="54" t="s">
        <v>96</v>
      </c>
      <c r="R18" s="58" t="s">
        <v>97</v>
      </c>
      <c r="S18" s="54" t="s">
        <v>98</v>
      </c>
    </row>
    <row r="19" customFormat="false" ht="68.65" hidden="false" customHeight="false" outlineLevel="0" collapsed="false">
      <c r="A19" s="51" t="s">
        <v>228</v>
      </c>
      <c r="B19" s="51" t="n">
        <v>15</v>
      </c>
      <c r="C19" s="52" t="s">
        <v>229</v>
      </c>
      <c r="D19" s="53" t="s">
        <v>230</v>
      </c>
      <c r="E19" s="54" t="s">
        <v>231</v>
      </c>
      <c r="F19" s="54" t="s">
        <v>88</v>
      </c>
      <c r="G19" s="54" t="s">
        <v>232</v>
      </c>
      <c r="H19" s="54" t="s">
        <v>233</v>
      </c>
      <c r="I19" s="53" t="s">
        <v>234</v>
      </c>
      <c r="J19" s="54" t="s">
        <v>235</v>
      </c>
      <c r="K19" s="53" t="s">
        <v>236</v>
      </c>
      <c r="L19" s="55" t="s">
        <v>8</v>
      </c>
      <c r="M19" s="56" t="n">
        <v>1</v>
      </c>
      <c r="N19" s="57" t="s">
        <v>94</v>
      </c>
      <c r="O19" s="59" t="s">
        <v>161</v>
      </c>
      <c r="P19" s="54" t="s">
        <v>162</v>
      </c>
      <c r="Q19" s="54" t="s">
        <v>237</v>
      </c>
      <c r="R19" s="58" t="s">
        <v>238</v>
      </c>
      <c r="S19" s="54" t="s">
        <v>98</v>
      </c>
    </row>
    <row r="20" customFormat="false" ht="35.05" hidden="false" customHeight="false" outlineLevel="0" collapsed="false">
      <c r="A20" s="51" t="s">
        <v>239</v>
      </c>
      <c r="B20" s="51" t="n">
        <v>16</v>
      </c>
      <c r="C20" s="52" t="s">
        <v>240</v>
      </c>
      <c r="D20" s="53" t="s">
        <v>241</v>
      </c>
      <c r="E20" s="54" t="s">
        <v>242</v>
      </c>
      <c r="F20" s="54" t="s">
        <v>222</v>
      </c>
      <c r="G20" s="54" t="s">
        <v>243</v>
      </c>
      <c r="H20" s="54" t="s">
        <v>244</v>
      </c>
      <c r="I20" s="53" t="s">
        <v>245</v>
      </c>
      <c r="J20" s="54" t="s">
        <v>246</v>
      </c>
      <c r="K20" s="53" t="s">
        <v>247</v>
      </c>
      <c r="L20" s="55" t="s">
        <v>8</v>
      </c>
      <c r="M20" s="56" t="n">
        <v>1</v>
      </c>
      <c r="N20" s="57" t="s">
        <v>94</v>
      </c>
      <c r="O20" s="51" t="s">
        <v>95</v>
      </c>
      <c r="P20" s="54"/>
      <c r="Q20" s="54" t="s">
        <v>131</v>
      </c>
      <c r="R20" s="58" t="s">
        <v>132</v>
      </c>
      <c r="S20" s="54" t="s">
        <v>98</v>
      </c>
    </row>
    <row r="21" customFormat="false" ht="35.05" hidden="false" customHeight="false" outlineLevel="0" collapsed="false">
      <c r="A21" s="51" t="s">
        <v>248</v>
      </c>
      <c r="B21" s="51" t="n">
        <v>17</v>
      </c>
      <c r="C21" s="52" t="s">
        <v>249</v>
      </c>
      <c r="D21" s="53" t="s">
        <v>250</v>
      </c>
      <c r="E21" s="54" t="s">
        <v>251</v>
      </c>
      <c r="F21" s="54" t="s">
        <v>249</v>
      </c>
      <c r="G21" s="54" t="s">
        <v>252</v>
      </c>
      <c r="H21" s="54" t="s">
        <v>253</v>
      </c>
      <c r="I21" s="53" t="s">
        <v>254</v>
      </c>
      <c r="J21" s="54" t="s">
        <v>255</v>
      </c>
      <c r="K21" s="53" t="s">
        <v>256</v>
      </c>
      <c r="L21" s="55" t="s">
        <v>8</v>
      </c>
      <c r="M21" s="56" t="n">
        <v>1</v>
      </c>
      <c r="N21" s="57" t="s">
        <v>94</v>
      </c>
      <c r="O21" s="51" t="s">
        <v>95</v>
      </c>
      <c r="P21" s="54"/>
      <c r="Q21" s="54" t="s">
        <v>96</v>
      </c>
      <c r="R21" s="58" t="s">
        <v>97</v>
      </c>
      <c r="S21" s="54" t="s">
        <v>98</v>
      </c>
    </row>
    <row r="22" customFormat="false" ht="68.65" hidden="false" customHeight="false" outlineLevel="0" collapsed="false">
      <c r="A22" s="51" t="s">
        <v>257</v>
      </c>
      <c r="B22" s="51" t="n">
        <v>18</v>
      </c>
      <c r="C22" s="52" t="s">
        <v>258</v>
      </c>
      <c r="D22" s="53" t="s">
        <v>259</v>
      </c>
      <c r="E22" s="54" t="s">
        <v>260</v>
      </c>
      <c r="F22" s="54" t="s">
        <v>261</v>
      </c>
      <c r="G22" s="54" t="s">
        <v>262</v>
      </c>
      <c r="H22" s="54" t="s">
        <v>263</v>
      </c>
      <c r="I22" s="53" t="s">
        <v>264</v>
      </c>
      <c r="J22" s="54" t="s">
        <v>265</v>
      </c>
      <c r="K22" s="53" t="s">
        <v>266</v>
      </c>
      <c r="L22" s="55" t="s">
        <v>8</v>
      </c>
      <c r="M22" s="56" t="n">
        <v>1</v>
      </c>
      <c r="N22" s="57" t="s">
        <v>94</v>
      </c>
      <c r="O22" s="51" t="s">
        <v>95</v>
      </c>
      <c r="P22" s="54"/>
      <c r="Q22" s="54" t="s">
        <v>237</v>
      </c>
      <c r="R22" s="58" t="s">
        <v>238</v>
      </c>
      <c r="S22" s="54" t="s">
        <v>98</v>
      </c>
    </row>
    <row r="23" customFormat="false" ht="35.05" hidden="false" customHeight="false" outlineLevel="0" collapsed="false">
      <c r="A23" s="51" t="s">
        <v>267</v>
      </c>
      <c r="B23" s="51" t="n">
        <v>19</v>
      </c>
      <c r="C23" s="52" t="s">
        <v>268</v>
      </c>
      <c r="D23" s="53" t="s">
        <v>269</v>
      </c>
      <c r="E23" s="54" t="s">
        <v>270</v>
      </c>
      <c r="F23" s="54" t="s">
        <v>222</v>
      </c>
      <c r="G23" s="54" t="s">
        <v>271</v>
      </c>
      <c r="H23" s="54" t="s">
        <v>272</v>
      </c>
      <c r="I23" s="53" t="s">
        <v>273</v>
      </c>
      <c r="J23" s="54" t="s">
        <v>274</v>
      </c>
      <c r="K23" s="53" t="s">
        <v>275</v>
      </c>
      <c r="L23" s="55" t="s">
        <v>8</v>
      </c>
      <c r="M23" s="56" t="n">
        <v>1</v>
      </c>
      <c r="N23" s="57" t="s">
        <v>94</v>
      </c>
      <c r="O23" s="51" t="s">
        <v>95</v>
      </c>
      <c r="P23" s="54"/>
      <c r="Q23" s="54" t="s">
        <v>131</v>
      </c>
      <c r="R23" s="58" t="s">
        <v>132</v>
      </c>
      <c r="S23" s="54" t="s">
        <v>98</v>
      </c>
    </row>
    <row r="24" customFormat="false" ht="35.05" hidden="false" customHeight="false" outlineLevel="0" collapsed="false">
      <c r="A24" s="51" t="s">
        <v>276</v>
      </c>
      <c r="B24" s="51" t="n">
        <v>20</v>
      </c>
      <c r="C24" s="52" t="s">
        <v>277</v>
      </c>
      <c r="D24" s="53" t="s">
        <v>278</v>
      </c>
      <c r="E24" s="54" t="s">
        <v>279</v>
      </c>
      <c r="F24" s="54" t="s">
        <v>222</v>
      </c>
      <c r="G24" s="54" t="s">
        <v>280</v>
      </c>
      <c r="H24" s="54" t="s">
        <v>281</v>
      </c>
      <c r="I24" s="53" t="s">
        <v>282</v>
      </c>
      <c r="J24" s="54" t="s">
        <v>283</v>
      </c>
      <c r="K24" s="53" t="s">
        <v>284</v>
      </c>
      <c r="L24" s="55" t="s">
        <v>8</v>
      </c>
      <c r="M24" s="56" t="n">
        <v>1</v>
      </c>
      <c r="N24" s="57" t="s">
        <v>94</v>
      </c>
      <c r="O24" s="51" t="s">
        <v>95</v>
      </c>
      <c r="P24" s="54"/>
      <c r="Q24" s="54" t="s">
        <v>131</v>
      </c>
      <c r="R24" s="58" t="s">
        <v>132</v>
      </c>
      <c r="S24" s="54" t="s">
        <v>98</v>
      </c>
    </row>
    <row r="25" customFormat="false" ht="35.05" hidden="false" customHeight="false" outlineLevel="0" collapsed="false">
      <c r="A25" s="51" t="s">
        <v>285</v>
      </c>
      <c r="B25" s="51" t="n">
        <v>21</v>
      </c>
      <c r="C25" s="52" t="s">
        <v>286</v>
      </c>
      <c r="D25" s="53" t="s">
        <v>287</v>
      </c>
      <c r="E25" s="54" t="s">
        <v>288</v>
      </c>
      <c r="F25" s="54" t="s">
        <v>289</v>
      </c>
      <c r="G25" s="54" t="s">
        <v>290</v>
      </c>
      <c r="H25" s="54" t="s">
        <v>291</v>
      </c>
      <c r="I25" s="53" t="s">
        <v>292</v>
      </c>
      <c r="J25" s="54" t="s">
        <v>293</v>
      </c>
      <c r="K25" s="53" t="s">
        <v>294</v>
      </c>
      <c r="L25" s="55" t="s">
        <v>8</v>
      </c>
      <c r="M25" s="56" t="n">
        <v>1</v>
      </c>
      <c r="N25" s="57" t="s">
        <v>94</v>
      </c>
      <c r="O25" s="51" t="s">
        <v>95</v>
      </c>
      <c r="P25" s="54"/>
      <c r="Q25" s="54" t="s">
        <v>96</v>
      </c>
      <c r="R25" s="58" t="s">
        <v>97</v>
      </c>
      <c r="S25" s="54" t="s">
        <v>98</v>
      </c>
    </row>
    <row r="26" customFormat="false" ht="46.25" hidden="false" customHeight="false" outlineLevel="0" collapsed="false">
      <c r="A26" s="51" t="s">
        <v>295</v>
      </c>
      <c r="B26" s="51" t="n">
        <v>22</v>
      </c>
      <c r="C26" s="52" t="s">
        <v>296</v>
      </c>
      <c r="D26" s="53" t="s">
        <v>297</v>
      </c>
      <c r="E26" s="54" t="s">
        <v>298</v>
      </c>
      <c r="F26" s="54" t="s">
        <v>261</v>
      </c>
      <c r="G26" s="54" t="s">
        <v>299</v>
      </c>
      <c r="H26" s="54" t="s">
        <v>300</v>
      </c>
      <c r="I26" s="53" t="s">
        <v>301</v>
      </c>
      <c r="J26" s="54" t="s">
        <v>302</v>
      </c>
      <c r="K26" s="53" t="s">
        <v>303</v>
      </c>
      <c r="L26" s="55" t="s">
        <v>8</v>
      </c>
      <c r="M26" s="56" t="n">
        <v>1</v>
      </c>
      <c r="N26" s="57" t="s">
        <v>94</v>
      </c>
      <c r="O26" s="59" t="s">
        <v>161</v>
      </c>
      <c r="P26" s="54" t="s">
        <v>304</v>
      </c>
      <c r="Q26" s="54" t="s">
        <v>109</v>
      </c>
      <c r="R26" s="58" t="s">
        <v>110</v>
      </c>
      <c r="S26" s="54" t="s">
        <v>98</v>
      </c>
    </row>
    <row r="27" customFormat="false" ht="35.05" hidden="false" customHeight="false" outlineLevel="0" collapsed="false">
      <c r="A27" s="51" t="s">
        <v>305</v>
      </c>
      <c r="B27" s="51" t="n">
        <v>23</v>
      </c>
      <c r="C27" s="52" t="s">
        <v>306</v>
      </c>
      <c r="D27" s="53" t="s">
        <v>307</v>
      </c>
      <c r="E27" s="54" t="s">
        <v>308</v>
      </c>
      <c r="F27" s="54" t="s">
        <v>261</v>
      </c>
      <c r="G27" s="54" t="s">
        <v>309</v>
      </c>
      <c r="H27" s="54" t="s">
        <v>310</v>
      </c>
      <c r="I27" s="53" t="s">
        <v>311</v>
      </c>
      <c r="J27" s="54" t="s">
        <v>312</v>
      </c>
      <c r="K27" s="53" t="s">
        <v>313</v>
      </c>
      <c r="L27" s="55" t="s">
        <v>8</v>
      </c>
      <c r="M27" s="56" t="n">
        <v>1</v>
      </c>
      <c r="N27" s="57" t="s">
        <v>94</v>
      </c>
      <c r="O27" s="51" t="s">
        <v>95</v>
      </c>
      <c r="P27" s="54"/>
      <c r="Q27" s="54" t="s">
        <v>131</v>
      </c>
      <c r="R27" s="58" t="s">
        <v>132</v>
      </c>
      <c r="S27" s="54" t="s">
        <v>98</v>
      </c>
    </row>
    <row r="28" customFormat="false" ht="35.05" hidden="false" customHeight="false" outlineLevel="0" collapsed="false">
      <c r="A28" s="51" t="s">
        <v>314</v>
      </c>
      <c r="B28" s="51" t="n">
        <v>24</v>
      </c>
      <c r="C28" s="52" t="s">
        <v>315</v>
      </c>
      <c r="D28" s="53" t="s">
        <v>316</v>
      </c>
      <c r="E28" s="54" t="s">
        <v>317</v>
      </c>
      <c r="F28" s="54" t="s">
        <v>27</v>
      </c>
      <c r="G28" s="54" t="s">
        <v>318</v>
      </c>
      <c r="H28" s="54" t="s">
        <v>319</v>
      </c>
      <c r="I28" s="53" t="s">
        <v>320</v>
      </c>
      <c r="J28" s="54" t="s">
        <v>321</v>
      </c>
      <c r="K28" s="53" t="s">
        <v>322</v>
      </c>
      <c r="L28" s="55" t="s">
        <v>8</v>
      </c>
      <c r="M28" s="56" t="n">
        <v>1</v>
      </c>
      <c r="N28" s="57" t="s">
        <v>94</v>
      </c>
      <c r="O28" s="51" t="s">
        <v>95</v>
      </c>
      <c r="P28" s="54"/>
      <c r="Q28" s="54" t="s">
        <v>96</v>
      </c>
      <c r="R28" s="58" t="s">
        <v>97</v>
      </c>
      <c r="S28" s="54" t="s">
        <v>98</v>
      </c>
    </row>
    <row r="29" customFormat="false" ht="46.25" hidden="false" customHeight="false" outlineLevel="0" collapsed="false">
      <c r="A29" s="51" t="s">
        <v>323</v>
      </c>
      <c r="B29" s="51" t="n">
        <v>25</v>
      </c>
      <c r="C29" s="52" t="s">
        <v>324</v>
      </c>
      <c r="D29" s="53" t="s">
        <v>325</v>
      </c>
      <c r="E29" s="54" t="s">
        <v>326</v>
      </c>
      <c r="F29" s="54" t="s">
        <v>115</v>
      </c>
      <c r="G29" s="54" t="s">
        <v>327</v>
      </c>
      <c r="H29" s="54" t="s">
        <v>328</v>
      </c>
      <c r="I29" s="53" t="s">
        <v>329</v>
      </c>
      <c r="J29" s="54" t="s">
        <v>330</v>
      </c>
      <c r="K29" s="53" t="s">
        <v>331</v>
      </c>
      <c r="L29" s="55" t="s">
        <v>8</v>
      </c>
      <c r="M29" s="56" t="n">
        <v>1</v>
      </c>
      <c r="N29" s="57" t="s">
        <v>94</v>
      </c>
      <c r="O29" s="51" t="s">
        <v>95</v>
      </c>
      <c r="P29" s="54"/>
      <c r="Q29" s="54" t="s">
        <v>109</v>
      </c>
      <c r="R29" s="58" t="s">
        <v>110</v>
      </c>
      <c r="S29" s="54" t="s">
        <v>98</v>
      </c>
    </row>
    <row r="30" customFormat="false" ht="35.05" hidden="false" customHeight="false" outlineLevel="0" collapsed="false">
      <c r="A30" s="51" t="s">
        <v>332</v>
      </c>
      <c r="B30" s="51" t="n">
        <v>26</v>
      </c>
      <c r="C30" s="52" t="s">
        <v>333</v>
      </c>
      <c r="D30" s="53" t="s">
        <v>334</v>
      </c>
      <c r="E30" s="54" t="s">
        <v>335</v>
      </c>
      <c r="F30" s="54" t="s">
        <v>115</v>
      </c>
      <c r="G30" s="54" t="s">
        <v>336</v>
      </c>
      <c r="H30" s="54" t="s">
        <v>337</v>
      </c>
      <c r="I30" s="53" t="s">
        <v>338</v>
      </c>
      <c r="J30" s="54" t="s">
        <v>339</v>
      </c>
      <c r="K30" s="53" t="s">
        <v>340</v>
      </c>
      <c r="L30" s="55" t="s">
        <v>8</v>
      </c>
      <c r="M30" s="56" t="n">
        <v>1</v>
      </c>
      <c r="N30" s="57" t="s">
        <v>94</v>
      </c>
      <c r="O30" s="51" t="s">
        <v>95</v>
      </c>
      <c r="P30" s="54"/>
      <c r="Q30" s="54" t="s">
        <v>96</v>
      </c>
      <c r="R30" s="58" t="s">
        <v>97</v>
      </c>
      <c r="S30" s="54" t="s">
        <v>98</v>
      </c>
    </row>
    <row r="31" customFormat="false" ht="35.05" hidden="false" customHeight="false" outlineLevel="0" collapsed="false">
      <c r="A31" s="51" t="s">
        <v>341</v>
      </c>
      <c r="B31" s="51" t="n">
        <v>27</v>
      </c>
      <c r="C31" s="52" t="s">
        <v>342</v>
      </c>
      <c r="D31" s="53" t="s">
        <v>343</v>
      </c>
      <c r="E31" s="54" t="s">
        <v>344</v>
      </c>
      <c r="F31" s="54" t="s">
        <v>137</v>
      </c>
      <c r="G31" s="54" t="s">
        <v>345</v>
      </c>
      <c r="H31" s="54" t="s">
        <v>346</v>
      </c>
      <c r="I31" s="53" t="s">
        <v>347</v>
      </c>
      <c r="J31" s="54" t="s">
        <v>348</v>
      </c>
      <c r="K31" s="53" t="s">
        <v>349</v>
      </c>
      <c r="L31" s="55" t="s">
        <v>8</v>
      </c>
      <c r="M31" s="56" t="n">
        <v>1</v>
      </c>
      <c r="N31" s="57" t="s">
        <v>94</v>
      </c>
      <c r="O31" s="51" t="s">
        <v>95</v>
      </c>
      <c r="P31" s="54"/>
      <c r="Q31" s="54" t="s">
        <v>96</v>
      </c>
      <c r="R31" s="58" t="s">
        <v>97</v>
      </c>
      <c r="S31" s="54" t="s">
        <v>98</v>
      </c>
    </row>
    <row r="32" customFormat="false" ht="46.25" hidden="false" customHeight="false" outlineLevel="0" collapsed="false">
      <c r="A32" s="51" t="s">
        <v>350</v>
      </c>
      <c r="B32" s="51" t="n">
        <v>28</v>
      </c>
      <c r="C32" s="52" t="s">
        <v>351</v>
      </c>
      <c r="D32" s="53" t="s">
        <v>352</v>
      </c>
      <c r="E32" s="54" t="s">
        <v>353</v>
      </c>
      <c r="F32" s="54" t="s">
        <v>115</v>
      </c>
      <c r="G32" s="54" t="s">
        <v>354</v>
      </c>
      <c r="H32" s="54" t="s">
        <v>355</v>
      </c>
      <c r="I32" s="53" t="s">
        <v>356</v>
      </c>
      <c r="J32" s="54" t="s">
        <v>357</v>
      </c>
      <c r="K32" s="53" t="s">
        <v>358</v>
      </c>
      <c r="L32" s="55" t="s">
        <v>8</v>
      </c>
      <c r="M32" s="56" t="n">
        <v>1</v>
      </c>
      <c r="N32" s="57" t="s">
        <v>94</v>
      </c>
      <c r="O32" s="51" t="s">
        <v>95</v>
      </c>
      <c r="P32" s="54"/>
      <c r="Q32" s="54" t="s">
        <v>109</v>
      </c>
      <c r="R32" s="58" t="s">
        <v>110</v>
      </c>
      <c r="S32" s="54" t="s">
        <v>98</v>
      </c>
    </row>
    <row r="33" customFormat="false" ht="46.25" hidden="false" customHeight="false" outlineLevel="0" collapsed="false">
      <c r="A33" s="51" t="s">
        <v>359</v>
      </c>
      <c r="B33" s="51" t="n">
        <v>29</v>
      </c>
      <c r="C33" s="52" t="s">
        <v>360</v>
      </c>
      <c r="D33" s="53" t="s">
        <v>361</v>
      </c>
      <c r="E33" s="54" t="s">
        <v>362</v>
      </c>
      <c r="F33" s="54" t="s">
        <v>125</v>
      </c>
      <c r="G33" s="54" t="s">
        <v>363</v>
      </c>
      <c r="H33" s="54" t="s">
        <v>364</v>
      </c>
      <c r="I33" s="53" t="s">
        <v>365</v>
      </c>
      <c r="J33" s="54" t="s">
        <v>366</v>
      </c>
      <c r="K33" s="53" t="s">
        <v>367</v>
      </c>
      <c r="L33" s="55" t="s">
        <v>8</v>
      </c>
      <c r="M33" s="56" t="n">
        <v>1</v>
      </c>
      <c r="N33" s="57" t="s">
        <v>94</v>
      </c>
      <c r="O33" s="59" t="s">
        <v>161</v>
      </c>
      <c r="P33" s="54" t="s">
        <v>162</v>
      </c>
      <c r="Q33" s="54" t="s">
        <v>109</v>
      </c>
      <c r="R33" s="58" t="s">
        <v>110</v>
      </c>
      <c r="S33" s="54" t="s">
        <v>98</v>
      </c>
    </row>
    <row r="34" customFormat="false" ht="35.05" hidden="false" customHeight="false" outlineLevel="0" collapsed="false">
      <c r="A34" s="51" t="s">
        <v>368</v>
      </c>
      <c r="B34" s="51" t="n">
        <v>30</v>
      </c>
      <c r="C34" s="52" t="s">
        <v>369</v>
      </c>
      <c r="D34" s="53" t="s">
        <v>370</v>
      </c>
      <c r="E34" s="54" t="s">
        <v>371</v>
      </c>
      <c r="F34" s="54" t="s">
        <v>115</v>
      </c>
      <c r="G34" s="54" t="s">
        <v>372</v>
      </c>
      <c r="H34" s="54" t="s">
        <v>373</v>
      </c>
      <c r="I34" s="53" t="s">
        <v>374</v>
      </c>
      <c r="J34" s="54" t="s">
        <v>375</v>
      </c>
      <c r="K34" s="53" t="s">
        <v>376</v>
      </c>
      <c r="L34" s="55" t="s">
        <v>8</v>
      </c>
      <c r="M34" s="56" t="n">
        <v>1</v>
      </c>
      <c r="N34" s="57" t="s">
        <v>94</v>
      </c>
      <c r="O34" s="51" t="s">
        <v>95</v>
      </c>
      <c r="P34" s="54"/>
      <c r="Q34" s="54" t="s">
        <v>131</v>
      </c>
      <c r="R34" s="58" t="s">
        <v>132</v>
      </c>
      <c r="S34" s="54" t="s">
        <v>98</v>
      </c>
    </row>
    <row r="35" customFormat="false" ht="35.05" hidden="false" customHeight="false" outlineLevel="0" collapsed="false">
      <c r="A35" s="51" t="s">
        <v>377</v>
      </c>
      <c r="B35" s="51" t="n">
        <v>31</v>
      </c>
      <c r="C35" s="52" t="s">
        <v>378</v>
      </c>
      <c r="D35" s="53" t="s">
        <v>379</v>
      </c>
      <c r="E35" s="54" t="s">
        <v>380</v>
      </c>
      <c r="F35" s="54" t="s">
        <v>381</v>
      </c>
      <c r="G35" s="54" t="s">
        <v>382</v>
      </c>
      <c r="H35" s="54" t="s">
        <v>383</v>
      </c>
      <c r="I35" s="53" t="s">
        <v>384</v>
      </c>
      <c r="J35" s="54" t="s">
        <v>385</v>
      </c>
      <c r="K35" s="53" t="s">
        <v>386</v>
      </c>
      <c r="L35" s="55" t="s">
        <v>8</v>
      </c>
      <c r="M35" s="56" t="n">
        <v>1</v>
      </c>
      <c r="N35" s="57" t="s">
        <v>94</v>
      </c>
      <c r="O35" s="51" t="s">
        <v>95</v>
      </c>
      <c r="P35" s="54"/>
      <c r="Q35" s="54" t="s">
        <v>96</v>
      </c>
      <c r="R35" s="58" t="s">
        <v>97</v>
      </c>
      <c r="S35" s="54" t="s">
        <v>98</v>
      </c>
    </row>
    <row r="36" customFormat="false" ht="35.05" hidden="false" customHeight="false" outlineLevel="0" collapsed="false">
      <c r="A36" s="51" t="s">
        <v>387</v>
      </c>
      <c r="B36" s="51" t="n">
        <v>32</v>
      </c>
      <c r="C36" s="52" t="s">
        <v>388</v>
      </c>
      <c r="D36" s="53" t="s">
        <v>389</v>
      </c>
      <c r="E36" s="54" t="s">
        <v>390</v>
      </c>
      <c r="F36" s="54" t="s">
        <v>391</v>
      </c>
      <c r="G36" s="54" t="s">
        <v>392</v>
      </c>
      <c r="H36" s="54" t="s">
        <v>393</v>
      </c>
      <c r="I36" s="53" t="s">
        <v>394</v>
      </c>
      <c r="J36" s="54" t="s">
        <v>395</v>
      </c>
      <c r="K36" s="53" t="s">
        <v>396</v>
      </c>
      <c r="L36" s="55" t="s">
        <v>8</v>
      </c>
      <c r="M36" s="56" t="n">
        <v>1</v>
      </c>
      <c r="N36" s="57" t="s">
        <v>94</v>
      </c>
      <c r="O36" s="51" t="s">
        <v>95</v>
      </c>
      <c r="P36" s="54"/>
      <c r="Q36" s="54" t="s">
        <v>96</v>
      </c>
      <c r="R36" s="58" t="s">
        <v>97</v>
      </c>
      <c r="S36" s="54" t="s">
        <v>98</v>
      </c>
    </row>
    <row r="37" customFormat="false" ht="35.05" hidden="false" customHeight="false" outlineLevel="0" collapsed="false">
      <c r="A37" s="51" t="s">
        <v>397</v>
      </c>
      <c r="B37" s="51" t="n">
        <v>33</v>
      </c>
      <c r="C37" s="52" t="s">
        <v>398</v>
      </c>
      <c r="D37" s="53" t="s">
        <v>399</v>
      </c>
      <c r="E37" s="54" t="s">
        <v>400</v>
      </c>
      <c r="F37" s="54" t="s">
        <v>88</v>
      </c>
      <c r="G37" s="54" t="s">
        <v>401</v>
      </c>
      <c r="H37" s="54" t="s">
        <v>402</v>
      </c>
      <c r="I37" s="53" t="s">
        <v>403</v>
      </c>
      <c r="J37" s="54" t="s">
        <v>404</v>
      </c>
      <c r="K37" s="53" t="s">
        <v>405</v>
      </c>
      <c r="L37" s="55" t="s">
        <v>8</v>
      </c>
      <c r="M37" s="56" t="n">
        <v>1</v>
      </c>
      <c r="N37" s="57" t="s">
        <v>94</v>
      </c>
      <c r="O37" s="51" t="s">
        <v>95</v>
      </c>
      <c r="P37" s="54"/>
      <c r="Q37" s="54" t="s">
        <v>96</v>
      </c>
      <c r="R37" s="58" t="s">
        <v>97</v>
      </c>
      <c r="S37" s="54" t="s">
        <v>98</v>
      </c>
    </row>
    <row r="38" customFormat="false" ht="46.25" hidden="false" customHeight="false" outlineLevel="0" collapsed="false">
      <c r="A38" s="51" t="s">
        <v>406</v>
      </c>
      <c r="B38" s="51" t="n">
        <v>34</v>
      </c>
      <c r="C38" s="52" t="s">
        <v>407</v>
      </c>
      <c r="D38" s="53" t="s">
        <v>408</v>
      </c>
      <c r="E38" s="54" t="s">
        <v>409</v>
      </c>
      <c r="F38" s="54" t="s">
        <v>125</v>
      </c>
      <c r="G38" s="54" t="s">
        <v>410</v>
      </c>
      <c r="H38" s="54" t="s">
        <v>411</v>
      </c>
      <c r="I38" s="53" t="s">
        <v>412</v>
      </c>
      <c r="J38" s="54" t="s">
        <v>413</v>
      </c>
      <c r="K38" s="53" t="s">
        <v>414</v>
      </c>
      <c r="L38" s="55" t="s">
        <v>8</v>
      </c>
      <c r="M38" s="56" t="n">
        <v>1</v>
      </c>
      <c r="N38" s="57" t="s">
        <v>94</v>
      </c>
      <c r="O38" s="51" t="s">
        <v>95</v>
      </c>
      <c r="P38" s="54"/>
      <c r="Q38" s="54" t="s">
        <v>109</v>
      </c>
      <c r="R38" s="58" t="s">
        <v>110</v>
      </c>
      <c r="S38" s="54" t="s">
        <v>98</v>
      </c>
    </row>
    <row r="39" customFormat="false" ht="46.25" hidden="false" customHeight="false" outlineLevel="0" collapsed="false">
      <c r="A39" s="51" t="s">
        <v>415</v>
      </c>
      <c r="B39" s="51" t="n">
        <v>35</v>
      </c>
      <c r="C39" s="52" t="s">
        <v>416</v>
      </c>
      <c r="D39" s="53" t="s">
        <v>417</v>
      </c>
      <c r="E39" s="54" t="s">
        <v>418</v>
      </c>
      <c r="F39" s="54" t="s">
        <v>115</v>
      </c>
      <c r="G39" s="54" t="s">
        <v>419</v>
      </c>
      <c r="H39" s="54" t="s">
        <v>420</v>
      </c>
      <c r="I39" s="53" t="s">
        <v>421</v>
      </c>
      <c r="J39" s="54" t="s">
        <v>422</v>
      </c>
      <c r="K39" s="53" t="s">
        <v>423</v>
      </c>
      <c r="L39" s="55" t="s">
        <v>8</v>
      </c>
      <c r="M39" s="56" t="n">
        <v>1</v>
      </c>
      <c r="N39" s="57" t="s">
        <v>94</v>
      </c>
      <c r="O39" s="51" t="s">
        <v>95</v>
      </c>
      <c r="P39" s="54"/>
      <c r="Q39" s="54" t="s">
        <v>109</v>
      </c>
      <c r="R39" s="58" t="s">
        <v>110</v>
      </c>
      <c r="S39" s="54" t="s">
        <v>98</v>
      </c>
    </row>
    <row r="40" customFormat="false" ht="35.05" hidden="false" customHeight="false" outlineLevel="0" collapsed="false">
      <c r="A40" s="51" t="s">
        <v>424</v>
      </c>
      <c r="B40" s="51" t="n">
        <v>36</v>
      </c>
      <c r="C40" s="52" t="s">
        <v>125</v>
      </c>
      <c r="D40" s="53" t="s">
        <v>425</v>
      </c>
      <c r="E40" s="54" t="s">
        <v>426</v>
      </c>
      <c r="F40" s="54" t="s">
        <v>125</v>
      </c>
      <c r="G40" s="54" t="s">
        <v>427</v>
      </c>
      <c r="H40" s="54" t="s">
        <v>428</v>
      </c>
      <c r="I40" s="53" t="s">
        <v>429</v>
      </c>
      <c r="J40" s="54" t="s">
        <v>430</v>
      </c>
      <c r="K40" s="53" t="s">
        <v>431</v>
      </c>
      <c r="L40" s="55" t="s">
        <v>8</v>
      </c>
      <c r="M40" s="56" t="n">
        <v>1</v>
      </c>
      <c r="N40" s="57" t="s">
        <v>94</v>
      </c>
      <c r="O40" s="51" t="s">
        <v>95</v>
      </c>
      <c r="P40" s="54"/>
      <c r="Q40" s="54" t="s">
        <v>131</v>
      </c>
      <c r="R40" s="58" t="s">
        <v>132</v>
      </c>
      <c r="S40" s="54" t="s">
        <v>98</v>
      </c>
    </row>
    <row r="41" customFormat="false" ht="46.25" hidden="false" customHeight="false" outlineLevel="0" collapsed="false">
      <c r="A41" s="51" t="s">
        <v>432</v>
      </c>
      <c r="B41" s="51" t="n">
        <v>37</v>
      </c>
      <c r="C41" s="52" t="s">
        <v>433</v>
      </c>
      <c r="D41" s="53" t="s">
        <v>434</v>
      </c>
      <c r="E41" s="54" t="s">
        <v>435</v>
      </c>
      <c r="F41" s="54" t="s">
        <v>222</v>
      </c>
      <c r="G41" s="54" t="s">
        <v>436</v>
      </c>
      <c r="H41" s="54" t="s">
        <v>437</v>
      </c>
      <c r="I41" s="53" t="s">
        <v>438</v>
      </c>
      <c r="J41" s="54" t="s">
        <v>439</v>
      </c>
      <c r="K41" s="53" t="s">
        <v>440</v>
      </c>
      <c r="L41" s="55" t="s">
        <v>8</v>
      </c>
      <c r="M41" s="56" t="n">
        <v>1</v>
      </c>
      <c r="N41" s="57" t="s">
        <v>94</v>
      </c>
      <c r="O41" s="51" t="s">
        <v>95</v>
      </c>
      <c r="P41" s="54"/>
      <c r="Q41" s="54" t="s">
        <v>441</v>
      </c>
      <c r="R41" s="58" t="s">
        <v>442</v>
      </c>
      <c r="S41" s="54" t="s">
        <v>98</v>
      </c>
    </row>
    <row r="42" customFormat="false" ht="35.05" hidden="false" customHeight="false" outlineLevel="0" collapsed="false">
      <c r="A42" s="51" t="s">
        <v>443</v>
      </c>
      <c r="B42" s="51" t="n">
        <v>38</v>
      </c>
      <c r="C42" s="52" t="s">
        <v>444</v>
      </c>
      <c r="D42" s="53" t="s">
        <v>445</v>
      </c>
      <c r="E42" s="54" t="s">
        <v>446</v>
      </c>
      <c r="F42" s="54" t="s">
        <v>115</v>
      </c>
      <c r="G42" s="54" t="s">
        <v>447</v>
      </c>
      <c r="H42" s="54" t="s">
        <v>448</v>
      </c>
      <c r="I42" s="53" t="s">
        <v>449</v>
      </c>
      <c r="J42" s="54" t="s">
        <v>450</v>
      </c>
      <c r="K42" s="53" t="s">
        <v>451</v>
      </c>
      <c r="L42" s="55" t="s">
        <v>8</v>
      </c>
      <c r="M42" s="56" t="n">
        <v>1</v>
      </c>
      <c r="N42" s="57" t="s">
        <v>94</v>
      </c>
      <c r="O42" s="51" t="s">
        <v>95</v>
      </c>
      <c r="P42" s="54"/>
      <c r="Q42" s="54" t="s">
        <v>131</v>
      </c>
      <c r="R42" s="58" t="s">
        <v>132</v>
      </c>
      <c r="S42" s="54" t="s">
        <v>98</v>
      </c>
    </row>
    <row r="43" customFormat="false" ht="35.05" hidden="false" customHeight="false" outlineLevel="0" collapsed="false">
      <c r="A43" s="51" t="s">
        <v>452</v>
      </c>
      <c r="B43" s="51" t="n">
        <v>39</v>
      </c>
      <c r="C43" s="52" t="s">
        <v>453</v>
      </c>
      <c r="D43" s="53" t="s">
        <v>454</v>
      </c>
      <c r="E43" s="54" t="s">
        <v>455</v>
      </c>
      <c r="F43" s="54" t="s">
        <v>391</v>
      </c>
      <c r="G43" s="54" t="s">
        <v>456</v>
      </c>
      <c r="H43" s="54" t="s">
        <v>457</v>
      </c>
      <c r="I43" s="53" t="s">
        <v>458</v>
      </c>
      <c r="J43" s="54" t="s">
        <v>459</v>
      </c>
      <c r="K43" s="53" t="s">
        <v>460</v>
      </c>
      <c r="L43" s="55" t="s">
        <v>8</v>
      </c>
      <c r="M43" s="56" t="n">
        <v>1</v>
      </c>
      <c r="N43" s="57" t="s">
        <v>94</v>
      </c>
      <c r="O43" s="51" t="s">
        <v>95</v>
      </c>
      <c r="P43" s="54"/>
      <c r="Q43" s="54" t="s">
        <v>96</v>
      </c>
      <c r="R43" s="58" t="s">
        <v>97</v>
      </c>
      <c r="S43" s="54" t="s">
        <v>98</v>
      </c>
    </row>
    <row r="44" customFormat="false" ht="46.25" hidden="false" customHeight="false" outlineLevel="0" collapsed="false">
      <c r="A44" s="51" t="s">
        <v>461</v>
      </c>
      <c r="B44" s="51" t="n">
        <v>40</v>
      </c>
      <c r="C44" s="52" t="s">
        <v>462</v>
      </c>
      <c r="D44" s="53" t="s">
        <v>463</v>
      </c>
      <c r="E44" s="54" t="s">
        <v>464</v>
      </c>
      <c r="F44" s="54" t="s">
        <v>88</v>
      </c>
      <c r="G44" s="54" t="s">
        <v>465</v>
      </c>
      <c r="H44" s="54" t="s">
        <v>466</v>
      </c>
      <c r="I44" s="53" t="s">
        <v>467</v>
      </c>
      <c r="J44" s="54" t="s">
        <v>468</v>
      </c>
      <c r="K44" s="53" t="s">
        <v>469</v>
      </c>
      <c r="L44" s="55" t="s">
        <v>8</v>
      </c>
      <c r="M44" s="56" t="n">
        <v>1</v>
      </c>
      <c r="N44" s="57" t="s">
        <v>94</v>
      </c>
      <c r="O44" s="51" t="s">
        <v>95</v>
      </c>
      <c r="P44" s="54"/>
      <c r="Q44" s="54" t="s">
        <v>109</v>
      </c>
      <c r="R44" s="58" t="s">
        <v>110</v>
      </c>
      <c r="S44" s="54" t="s">
        <v>98</v>
      </c>
    </row>
    <row r="45" customFormat="false" ht="46.25" hidden="false" customHeight="false" outlineLevel="0" collapsed="false">
      <c r="A45" s="51" t="s">
        <v>470</v>
      </c>
      <c r="B45" s="51" t="n">
        <v>41</v>
      </c>
      <c r="C45" s="52" t="s">
        <v>471</v>
      </c>
      <c r="D45" s="53" t="s">
        <v>472</v>
      </c>
      <c r="E45" s="54" t="s">
        <v>473</v>
      </c>
      <c r="F45" s="54" t="s">
        <v>103</v>
      </c>
      <c r="G45" s="54" t="s">
        <v>474</v>
      </c>
      <c r="H45" s="54" t="s">
        <v>475</v>
      </c>
      <c r="I45" s="53" t="s">
        <v>476</v>
      </c>
      <c r="J45" s="54" t="s">
        <v>477</v>
      </c>
      <c r="K45" s="53" t="s">
        <v>478</v>
      </c>
      <c r="L45" s="55" t="s">
        <v>8</v>
      </c>
      <c r="M45" s="56" t="n">
        <v>1</v>
      </c>
      <c r="N45" s="57" t="s">
        <v>94</v>
      </c>
      <c r="O45" s="51" t="s">
        <v>95</v>
      </c>
      <c r="P45" s="54"/>
      <c r="Q45" s="54" t="s">
        <v>109</v>
      </c>
      <c r="R45" s="58" t="s">
        <v>110</v>
      </c>
      <c r="S45" s="54" t="s">
        <v>98</v>
      </c>
    </row>
    <row r="46" customFormat="false" ht="35.05" hidden="false" customHeight="false" outlineLevel="0" collapsed="false">
      <c r="A46" s="51" t="s">
        <v>479</v>
      </c>
      <c r="B46" s="51" t="n">
        <v>42</v>
      </c>
      <c r="C46" s="52" t="s">
        <v>480</v>
      </c>
      <c r="D46" s="53" t="s">
        <v>481</v>
      </c>
      <c r="E46" s="54" t="s">
        <v>482</v>
      </c>
      <c r="F46" s="54" t="s">
        <v>115</v>
      </c>
      <c r="G46" s="54" t="s">
        <v>483</v>
      </c>
      <c r="H46" s="54" t="s">
        <v>484</v>
      </c>
      <c r="I46" s="53" t="s">
        <v>485</v>
      </c>
      <c r="J46" s="54" t="s">
        <v>486</v>
      </c>
      <c r="K46" s="53" t="s">
        <v>487</v>
      </c>
      <c r="L46" s="55" t="s">
        <v>8</v>
      </c>
      <c r="M46" s="56" t="n">
        <v>1</v>
      </c>
      <c r="N46" s="57" t="s">
        <v>94</v>
      </c>
      <c r="O46" s="51" t="s">
        <v>95</v>
      </c>
      <c r="P46" s="54"/>
      <c r="Q46" s="54" t="s">
        <v>131</v>
      </c>
      <c r="R46" s="58" t="s">
        <v>132</v>
      </c>
      <c r="S46" s="54" t="s">
        <v>98</v>
      </c>
    </row>
    <row r="47" customFormat="false" ht="35.05" hidden="false" customHeight="false" outlineLevel="0" collapsed="false">
      <c r="A47" s="51" t="s">
        <v>488</v>
      </c>
      <c r="B47" s="51" t="n">
        <v>43</v>
      </c>
      <c r="C47" s="52" t="s">
        <v>489</v>
      </c>
      <c r="D47" s="53" t="s">
        <v>490</v>
      </c>
      <c r="E47" s="54" t="s">
        <v>491</v>
      </c>
      <c r="F47" s="54" t="s">
        <v>115</v>
      </c>
      <c r="G47" s="54" t="s">
        <v>492</v>
      </c>
      <c r="H47" s="54" t="s">
        <v>493</v>
      </c>
      <c r="I47" s="53" t="s">
        <v>494</v>
      </c>
      <c r="J47" s="54" t="s">
        <v>495</v>
      </c>
      <c r="K47" s="53" t="s">
        <v>496</v>
      </c>
      <c r="L47" s="55" t="s">
        <v>8</v>
      </c>
      <c r="M47" s="56" t="n">
        <v>1</v>
      </c>
      <c r="N47" s="57" t="s">
        <v>94</v>
      </c>
      <c r="O47" s="51" t="s">
        <v>95</v>
      </c>
      <c r="P47" s="54"/>
      <c r="Q47" s="54" t="s">
        <v>96</v>
      </c>
      <c r="R47" s="58" t="s">
        <v>97</v>
      </c>
      <c r="S47" s="54" t="s">
        <v>98</v>
      </c>
    </row>
    <row r="48" customFormat="false" ht="46.25" hidden="false" customHeight="false" outlineLevel="0" collapsed="false">
      <c r="A48" s="51" t="s">
        <v>497</v>
      </c>
      <c r="B48" s="51" t="n">
        <v>44</v>
      </c>
      <c r="C48" s="52" t="s">
        <v>498</v>
      </c>
      <c r="D48" s="53" t="s">
        <v>499</v>
      </c>
      <c r="E48" s="54" t="s">
        <v>500</v>
      </c>
      <c r="F48" s="54" t="s">
        <v>222</v>
      </c>
      <c r="G48" s="54" t="s">
        <v>501</v>
      </c>
      <c r="H48" s="54" t="s">
        <v>502</v>
      </c>
      <c r="I48" s="53" t="s">
        <v>503</v>
      </c>
      <c r="J48" s="54" t="s">
        <v>504</v>
      </c>
      <c r="K48" s="53" t="s">
        <v>505</v>
      </c>
      <c r="L48" s="55" t="s">
        <v>8</v>
      </c>
      <c r="M48" s="56" t="n">
        <v>1</v>
      </c>
      <c r="N48" s="57" t="s">
        <v>94</v>
      </c>
      <c r="O48" s="51" t="s">
        <v>95</v>
      </c>
      <c r="P48" s="54"/>
      <c r="Q48" s="54" t="s">
        <v>109</v>
      </c>
      <c r="R48" s="58" t="s">
        <v>110</v>
      </c>
      <c r="S48" s="54" t="s">
        <v>506</v>
      </c>
    </row>
    <row r="49" customFormat="false" ht="35.05" hidden="false" customHeight="false" outlineLevel="0" collapsed="false">
      <c r="A49" s="51" t="s">
        <v>507</v>
      </c>
      <c r="B49" s="51" t="n">
        <v>45</v>
      </c>
      <c r="C49" s="52" t="s">
        <v>508</v>
      </c>
      <c r="D49" s="53" t="s">
        <v>509</v>
      </c>
      <c r="E49" s="54" t="s">
        <v>510</v>
      </c>
      <c r="F49" s="54" t="s">
        <v>222</v>
      </c>
      <c r="G49" s="54" t="s">
        <v>511</v>
      </c>
      <c r="H49" s="54" t="s">
        <v>512</v>
      </c>
      <c r="I49" s="53" t="s">
        <v>513</v>
      </c>
      <c r="J49" s="54" t="s">
        <v>514</v>
      </c>
      <c r="K49" s="53" t="s">
        <v>515</v>
      </c>
      <c r="L49" s="55" t="s">
        <v>8</v>
      </c>
      <c r="M49" s="56" t="n">
        <v>1</v>
      </c>
      <c r="N49" s="57" t="s">
        <v>94</v>
      </c>
      <c r="O49" s="51" t="s">
        <v>95</v>
      </c>
      <c r="P49" s="54"/>
      <c r="Q49" s="54" t="s">
        <v>516</v>
      </c>
      <c r="R49" s="58" t="s">
        <v>517</v>
      </c>
      <c r="S49" s="54" t="s">
        <v>98</v>
      </c>
    </row>
    <row r="50" customFormat="false" ht="35.05" hidden="false" customHeight="false" outlineLevel="0" collapsed="false">
      <c r="A50" s="51" t="s">
        <v>518</v>
      </c>
      <c r="B50" s="51" t="n">
        <v>46</v>
      </c>
      <c r="C50" s="52" t="s">
        <v>519</v>
      </c>
      <c r="D50" s="53" t="s">
        <v>520</v>
      </c>
      <c r="E50" s="54" t="s">
        <v>521</v>
      </c>
      <c r="F50" s="54" t="s">
        <v>125</v>
      </c>
      <c r="G50" s="54" t="s">
        <v>522</v>
      </c>
      <c r="H50" s="54" t="s">
        <v>523</v>
      </c>
      <c r="I50" s="53" t="s">
        <v>524</v>
      </c>
      <c r="J50" s="54" t="s">
        <v>525</v>
      </c>
      <c r="K50" s="53" t="s">
        <v>526</v>
      </c>
      <c r="L50" s="55" t="s">
        <v>8</v>
      </c>
      <c r="M50" s="56" t="n">
        <v>1</v>
      </c>
      <c r="N50" s="57" t="s">
        <v>94</v>
      </c>
      <c r="O50" s="51" t="s">
        <v>95</v>
      </c>
      <c r="P50" s="54"/>
      <c r="Q50" s="54" t="s">
        <v>131</v>
      </c>
      <c r="R50" s="58" t="s">
        <v>132</v>
      </c>
      <c r="S50" s="54" t="s">
        <v>98</v>
      </c>
    </row>
    <row r="51" customFormat="false" ht="35.05" hidden="false" customHeight="false" outlineLevel="0" collapsed="false">
      <c r="A51" s="51" t="s">
        <v>527</v>
      </c>
      <c r="B51" s="51" t="n">
        <v>47</v>
      </c>
      <c r="C51" s="52" t="s">
        <v>528</v>
      </c>
      <c r="D51" s="53" t="s">
        <v>529</v>
      </c>
      <c r="E51" s="54" t="s">
        <v>530</v>
      </c>
      <c r="F51" s="54" t="s">
        <v>88</v>
      </c>
      <c r="G51" s="54" t="s">
        <v>531</v>
      </c>
      <c r="H51" s="54" t="s">
        <v>532</v>
      </c>
      <c r="I51" s="53" t="s">
        <v>533</v>
      </c>
      <c r="J51" s="54" t="s">
        <v>534</v>
      </c>
      <c r="K51" s="53" t="s">
        <v>535</v>
      </c>
      <c r="L51" s="55" t="s">
        <v>8</v>
      </c>
      <c r="M51" s="56" t="n">
        <v>1</v>
      </c>
      <c r="N51" s="57" t="s">
        <v>94</v>
      </c>
      <c r="O51" s="51" t="s">
        <v>95</v>
      </c>
      <c r="P51" s="54"/>
      <c r="Q51" s="54" t="s">
        <v>96</v>
      </c>
      <c r="R51" s="58" t="s">
        <v>97</v>
      </c>
      <c r="S51" s="54" t="s">
        <v>98</v>
      </c>
    </row>
    <row r="52" customFormat="false" ht="35.05" hidden="false" customHeight="false" outlineLevel="0" collapsed="false">
      <c r="A52" s="51" t="s">
        <v>536</v>
      </c>
      <c r="B52" s="51" t="n">
        <v>48</v>
      </c>
      <c r="C52" s="52" t="s">
        <v>537</v>
      </c>
      <c r="D52" s="53" t="s">
        <v>529</v>
      </c>
      <c r="E52" s="54" t="s">
        <v>538</v>
      </c>
      <c r="F52" s="54" t="s">
        <v>88</v>
      </c>
      <c r="G52" s="54" t="s">
        <v>539</v>
      </c>
      <c r="H52" s="54" t="s">
        <v>540</v>
      </c>
      <c r="I52" s="53" t="s">
        <v>541</v>
      </c>
      <c r="J52" s="54" t="s">
        <v>542</v>
      </c>
      <c r="K52" s="53" t="s">
        <v>543</v>
      </c>
      <c r="L52" s="55" t="s">
        <v>8</v>
      </c>
      <c r="M52" s="56" t="n">
        <v>1</v>
      </c>
      <c r="N52" s="57" t="s">
        <v>94</v>
      </c>
      <c r="O52" s="51" t="s">
        <v>95</v>
      </c>
      <c r="P52" s="54"/>
      <c r="Q52" s="54" t="s">
        <v>131</v>
      </c>
      <c r="R52" s="58" t="s">
        <v>132</v>
      </c>
      <c r="S52" s="54" t="s">
        <v>98</v>
      </c>
    </row>
    <row r="53" customFormat="false" ht="46.25" hidden="false" customHeight="false" outlineLevel="0" collapsed="false">
      <c r="A53" s="51" t="s">
        <v>544</v>
      </c>
      <c r="B53" s="51" t="n">
        <v>49</v>
      </c>
      <c r="C53" s="52" t="s">
        <v>545</v>
      </c>
      <c r="D53" s="53" t="s">
        <v>546</v>
      </c>
      <c r="E53" s="54" t="s">
        <v>547</v>
      </c>
      <c r="F53" s="54" t="s">
        <v>548</v>
      </c>
      <c r="G53" s="54" t="s">
        <v>549</v>
      </c>
      <c r="H53" s="54" t="s">
        <v>550</v>
      </c>
      <c r="I53" s="53" t="s">
        <v>551</v>
      </c>
      <c r="J53" s="54" t="s">
        <v>552</v>
      </c>
      <c r="K53" s="53" t="s">
        <v>553</v>
      </c>
      <c r="L53" s="55" t="s">
        <v>8</v>
      </c>
      <c r="M53" s="56" t="n">
        <v>1</v>
      </c>
      <c r="N53" s="57" t="s">
        <v>94</v>
      </c>
      <c r="O53" s="59" t="s">
        <v>161</v>
      </c>
      <c r="P53" s="54" t="s">
        <v>554</v>
      </c>
      <c r="Q53" s="54" t="s">
        <v>109</v>
      </c>
      <c r="R53" s="58" t="s">
        <v>110</v>
      </c>
      <c r="S53" s="54" t="s">
        <v>98</v>
      </c>
    </row>
    <row r="54" customFormat="false" ht="35.05" hidden="false" customHeight="false" outlineLevel="0" collapsed="false">
      <c r="A54" s="51" t="s">
        <v>555</v>
      </c>
      <c r="B54" s="51" t="n">
        <v>50</v>
      </c>
      <c r="C54" s="52" t="s">
        <v>556</v>
      </c>
      <c r="D54" s="53" t="s">
        <v>557</v>
      </c>
      <c r="E54" s="54" t="s">
        <v>558</v>
      </c>
      <c r="F54" s="54" t="s">
        <v>125</v>
      </c>
      <c r="G54" s="54" t="s">
        <v>559</v>
      </c>
      <c r="H54" s="54" t="s">
        <v>560</v>
      </c>
      <c r="I54" s="53" t="s">
        <v>561</v>
      </c>
      <c r="J54" s="54" t="s">
        <v>562</v>
      </c>
      <c r="K54" s="53" t="s">
        <v>563</v>
      </c>
      <c r="L54" s="55" t="s">
        <v>8</v>
      </c>
      <c r="M54" s="56" t="n">
        <v>1</v>
      </c>
      <c r="N54" s="57" t="s">
        <v>94</v>
      </c>
      <c r="O54" s="51" t="s">
        <v>95</v>
      </c>
      <c r="P54" s="54"/>
      <c r="Q54" s="54" t="s">
        <v>131</v>
      </c>
      <c r="R54" s="58" t="s">
        <v>132</v>
      </c>
      <c r="S54" s="54" t="s">
        <v>98</v>
      </c>
    </row>
    <row r="55" customFormat="false" ht="35.05" hidden="false" customHeight="false" outlineLevel="0" collapsed="false">
      <c r="A55" s="51" t="s">
        <v>564</v>
      </c>
      <c r="B55" s="51" t="n">
        <v>51</v>
      </c>
      <c r="C55" s="52" t="s">
        <v>565</v>
      </c>
      <c r="D55" s="53" t="s">
        <v>566</v>
      </c>
      <c r="E55" s="54" t="s">
        <v>567</v>
      </c>
      <c r="F55" s="54" t="s">
        <v>249</v>
      </c>
      <c r="G55" s="54" t="s">
        <v>568</v>
      </c>
      <c r="H55" s="54" t="s">
        <v>569</v>
      </c>
      <c r="I55" s="53" t="s">
        <v>570</v>
      </c>
      <c r="J55" s="54" t="s">
        <v>571</v>
      </c>
      <c r="K55" s="53" t="s">
        <v>572</v>
      </c>
      <c r="L55" s="55" t="s">
        <v>8</v>
      </c>
      <c r="M55" s="56" t="n">
        <v>1</v>
      </c>
      <c r="N55" s="57" t="s">
        <v>94</v>
      </c>
      <c r="O55" s="59" t="s">
        <v>161</v>
      </c>
      <c r="P55" s="54" t="s">
        <v>573</v>
      </c>
      <c r="Q55" s="54" t="s">
        <v>96</v>
      </c>
      <c r="R55" s="58" t="s">
        <v>97</v>
      </c>
      <c r="S55" s="54" t="s">
        <v>98</v>
      </c>
    </row>
    <row r="56" customFormat="false" ht="46.25" hidden="false" customHeight="false" outlineLevel="0" collapsed="false">
      <c r="A56" s="51" t="s">
        <v>574</v>
      </c>
      <c r="B56" s="51" t="n">
        <v>52</v>
      </c>
      <c r="C56" s="52" t="s">
        <v>575</v>
      </c>
      <c r="D56" s="53" t="s">
        <v>576</v>
      </c>
      <c r="E56" s="54" t="s">
        <v>577</v>
      </c>
      <c r="F56" s="54" t="s">
        <v>103</v>
      </c>
      <c r="G56" s="54" t="s">
        <v>578</v>
      </c>
      <c r="H56" s="54" t="s">
        <v>579</v>
      </c>
      <c r="I56" s="53" t="s">
        <v>580</v>
      </c>
      <c r="J56" s="54" t="s">
        <v>581</v>
      </c>
      <c r="K56" s="53" t="s">
        <v>582</v>
      </c>
      <c r="L56" s="55" t="s">
        <v>8</v>
      </c>
      <c r="M56" s="56" t="n">
        <v>1</v>
      </c>
      <c r="N56" s="57" t="s">
        <v>94</v>
      </c>
      <c r="O56" s="51" t="s">
        <v>95</v>
      </c>
      <c r="P56" s="54"/>
      <c r="Q56" s="54" t="s">
        <v>109</v>
      </c>
      <c r="R56" s="58" t="s">
        <v>110</v>
      </c>
      <c r="S56" s="54" t="s">
        <v>98</v>
      </c>
    </row>
    <row r="57" customFormat="false" ht="35.05" hidden="false" customHeight="false" outlineLevel="0" collapsed="false">
      <c r="A57" s="51" t="s">
        <v>583</v>
      </c>
      <c r="B57" s="51" t="n">
        <v>53</v>
      </c>
      <c r="C57" s="52" t="s">
        <v>584</v>
      </c>
      <c r="D57" s="53" t="s">
        <v>585</v>
      </c>
      <c r="E57" s="54" t="s">
        <v>586</v>
      </c>
      <c r="F57" s="54" t="s">
        <v>222</v>
      </c>
      <c r="G57" s="54" t="s">
        <v>587</v>
      </c>
      <c r="H57" s="54" t="s">
        <v>588</v>
      </c>
      <c r="I57" s="53" t="s">
        <v>589</v>
      </c>
      <c r="J57" s="54" t="s">
        <v>590</v>
      </c>
      <c r="K57" s="53" t="s">
        <v>591</v>
      </c>
      <c r="L57" s="55" t="s">
        <v>8</v>
      </c>
      <c r="M57" s="56" t="n">
        <v>1</v>
      </c>
      <c r="N57" s="57" t="s">
        <v>94</v>
      </c>
      <c r="O57" s="51" t="s">
        <v>95</v>
      </c>
      <c r="P57" s="54"/>
      <c r="Q57" s="54" t="s">
        <v>96</v>
      </c>
      <c r="R57" s="58" t="s">
        <v>97</v>
      </c>
      <c r="S57" s="54" t="s">
        <v>98</v>
      </c>
    </row>
    <row r="58" customFormat="false" ht="35.05" hidden="false" customHeight="false" outlineLevel="0" collapsed="false">
      <c r="A58" s="51" t="s">
        <v>592</v>
      </c>
      <c r="B58" s="51" t="n">
        <v>54</v>
      </c>
      <c r="C58" s="52" t="s">
        <v>593</v>
      </c>
      <c r="D58" s="53" t="s">
        <v>594</v>
      </c>
      <c r="E58" s="54" t="s">
        <v>595</v>
      </c>
      <c r="F58" s="54" t="s">
        <v>261</v>
      </c>
      <c r="G58" s="54" t="s">
        <v>596</v>
      </c>
      <c r="H58" s="54" t="s">
        <v>597</v>
      </c>
      <c r="I58" s="53" t="s">
        <v>598</v>
      </c>
      <c r="J58" s="54" t="s">
        <v>599</v>
      </c>
      <c r="K58" s="53" t="s">
        <v>600</v>
      </c>
      <c r="L58" s="55" t="s">
        <v>8</v>
      </c>
      <c r="M58" s="56" t="n">
        <v>1</v>
      </c>
      <c r="N58" s="57" t="s">
        <v>94</v>
      </c>
      <c r="O58" s="51" t="s">
        <v>95</v>
      </c>
      <c r="P58" s="54"/>
      <c r="Q58" s="54" t="s">
        <v>131</v>
      </c>
      <c r="R58" s="58" t="s">
        <v>132</v>
      </c>
      <c r="S58" s="54" t="s">
        <v>98</v>
      </c>
    </row>
    <row r="59" customFormat="false" ht="35.05" hidden="false" customHeight="false" outlineLevel="0" collapsed="false">
      <c r="A59" s="51" t="s">
        <v>601</v>
      </c>
      <c r="B59" s="51" t="n">
        <v>55</v>
      </c>
      <c r="C59" s="52" t="s">
        <v>602</v>
      </c>
      <c r="D59" s="53" t="s">
        <v>603</v>
      </c>
      <c r="E59" s="54" t="s">
        <v>604</v>
      </c>
      <c r="F59" s="54" t="s">
        <v>88</v>
      </c>
      <c r="G59" s="54" t="s">
        <v>605</v>
      </c>
      <c r="H59" s="54" t="s">
        <v>606</v>
      </c>
      <c r="I59" s="53" t="s">
        <v>607</v>
      </c>
      <c r="J59" s="54" t="s">
        <v>608</v>
      </c>
      <c r="K59" s="53" t="s">
        <v>609</v>
      </c>
      <c r="L59" s="55" t="s">
        <v>8</v>
      </c>
      <c r="M59" s="56" t="n">
        <v>1</v>
      </c>
      <c r="N59" s="57" t="s">
        <v>94</v>
      </c>
      <c r="O59" s="51" t="s">
        <v>95</v>
      </c>
      <c r="P59" s="54"/>
      <c r="Q59" s="54" t="s">
        <v>96</v>
      </c>
      <c r="R59" s="58" t="s">
        <v>97</v>
      </c>
      <c r="S59" s="54" t="s">
        <v>98</v>
      </c>
    </row>
    <row r="60" customFormat="false" ht="46.25" hidden="false" customHeight="false" outlineLevel="0" collapsed="false">
      <c r="A60" s="51" t="s">
        <v>610</v>
      </c>
      <c r="B60" s="51" t="n">
        <v>56</v>
      </c>
      <c r="C60" s="52" t="s">
        <v>611</v>
      </c>
      <c r="D60" s="53" t="s">
        <v>612</v>
      </c>
      <c r="E60" s="54" t="s">
        <v>613</v>
      </c>
      <c r="F60" s="54" t="s">
        <v>614</v>
      </c>
      <c r="G60" s="54" t="s">
        <v>615</v>
      </c>
      <c r="H60" s="54" t="s">
        <v>616</v>
      </c>
      <c r="I60" s="53" t="s">
        <v>617</v>
      </c>
      <c r="J60" s="54" t="s">
        <v>618</v>
      </c>
      <c r="K60" s="53" t="s">
        <v>619</v>
      </c>
      <c r="L60" s="55" t="s">
        <v>8</v>
      </c>
      <c r="M60" s="56" t="n">
        <v>1</v>
      </c>
      <c r="N60" s="57" t="s">
        <v>94</v>
      </c>
      <c r="O60" s="59" t="s">
        <v>161</v>
      </c>
      <c r="P60" s="54" t="s">
        <v>620</v>
      </c>
      <c r="Q60" s="54" t="s">
        <v>621</v>
      </c>
      <c r="R60" s="58" t="s">
        <v>622</v>
      </c>
      <c r="S60" s="54" t="s">
        <v>98</v>
      </c>
    </row>
    <row r="61" customFormat="false" ht="35.05" hidden="false" customHeight="false" outlineLevel="0" collapsed="false">
      <c r="A61" s="51" t="s">
        <v>623</v>
      </c>
      <c r="B61" s="51" t="n">
        <v>57</v>
      </c>
      <c r="C61" s="52" t="s">
        <v>624</v>
      </c>
      <c r="D61" s="53" t="s">
        <v>625</v>
      </c>
      <c r="E61" s="54" t="s">
        <v>626</v>
      </c>
      <c r="F61" s="54" t="s">
        <v>125</v>
      </c>
      <c r="G61" s="54" t="s">
        <v>627</v>
      </c>
      <c r="H61" s="54" t="s">
        <v>628</v>
      </c>
      <c r="I61" s="53" t="s">
        <v>629</v>
      </c>
      <c r="J61" s="54" t="s">
        <v>525</v>
      </c>
      <c r="K61" s="53" t="s">
        <v>526</v>
      </c>
      <c r="L61" s="55" t="s">
        <v>8</v>
      </c>
      <c r="M61" s="56" t="n">
        <v>1</v>
      </c>
      <c r="N61" s="57" t="s">
        <v>94</v>
      </c>
      <c r="O61" s="51" t="s">
        <v>95</v>
      </c>
      <c r="P61" s="54"/>
      <c r="Q61" s="54" t="s">
        <v>131</v>
      </c>
      <c r="R61" s="58" t="s">
        <v>132</v>
      </c>
      <c r="S61" s="54" t="s">
        <v>98</v>
      </c>
    </row>
    <row r="62" customFormat="false" ht="35.05" hidden="false" customHeight="false" outlineLevel="0" collapsed="false">
      <c r="A62" s="51" t="s">
        <v>630</v>
      </c>
      <c r="B62" s="51" t="n">
        <v>58</v>
      </c>
      <c r="C62" s="52" t="s">
        <v>631</v>
      </c>
      <c r="D62" s="53" t="s">
        <v>632</v>
      </c>
      <c r="E62" s="54" t="s">
        <v>633</v>
      </c>
      <c r="F62" s="54" t="s">
        <v>88</v>
      </c>
      <c r="G62" s="54" t="s">
        <v>634</v>
      </c>
      <c r="H62" s="54" t="s">
        <v>635</v>
      </c>
      <c r="I62" s="53" t="s">
        <v>636</v>
      </c>
      <c r="J62" s="54" t="s">
        <v>637</v>
      </c>
      <c r="K62" s="53" t="s">
        <v>638</v>
      </c>
      <c r="L62" s="55" t="s">
        <v>8</v>
      </c>
      <c r="M62" s="56" t="n">
        <v>1</v>
      </c>
      <c r="N62" s="57" t="s">
        <v>94</v>
      </c>
      <c r="O62" s="51" t="s">
        <v>95</v>
      </c>
      <c r="P62" s="54"/>
      <c r="Q62" s="54" t="s">
        <v>131</v>
      </c>
      <c r="R62" s="58" t="s">
        <v>132</v>
      </c>
      <c r="S62" s="54" t="s">
        <v>98</v>
      </c>
    </row>
    <row r="63" customFormat="false" ht="35.05" hidden="false" customHeight="false" outlineLevel="0" collapsed="false">
      <c r="A63" s="51" t="s">
        <v>639</v>
      </c>
      <c r="B63" s="51" t="n">
        <v>59</v>
      </c>
      <c r="C63" s="52" t="s">
        <v>640</v>
      </c>
      <c r="D63" s="53" t="s">
        <v>641</v>
      </c>
      <c r="E63" s="54" t="s">
        <v>642</v>
      </c>
      <c r="F63" s="54" t="s">
        <v>115</v>
      </c>
      <c r="G63" s="54" t="s">
        <v>643</v>
      </c>
      <c r="H63" s="54" t="s">
        <v>644</v>
      </c>
      <c r="I63" s="53" t="s">
        <v>645</v>
      </c>
      <c r="J63" s="54" t="s">
        <v>646</v>
      </c>
      <c r="K63" s="53" t="s">
        <v>647</v>
      </c>
      <c r="L63" s="60" t="s">
        <v>9</v>
      </c>
      <c r="M63" s="56" t="n">
        <v>1</v>
      </c>
      <c r="N63" s="57" t="s">
        <v>94</v>
      </c>
      <c r="O63" s="51" t="s">
        <v>95</v>
      </c>
      <c r="P63" s="54"/>
      <c r="Q63" s="54" t="s">
        <v>131</v>
      </c>
      <c r="R63" s="58" t="s">
        <v>132</v>
      </c>
      <c r="S63" s="54" t="s">
        <v>98</v>
      </c>
    </row>
    <row r="64" customFormat="false" ht="35.05" hidden="false" customHeight="false" outlineLevel="0" collapsed="false">
      <c r="A64" s="51" t="s">
        <v>648</v>
      </c>
      <c r="B64" s="51" t="n">
        <v>60</v>
      </c>
      <c r="C64" s="52" t="s">
        <v>649</v>
      </c>
      <c r="D64" s="53" t="s">
        <v>650</v>
      </c>
      <c r="E64" s="54" t="s">
        <v>651</v>
      </c>
      <c r="F64" s="54" t="s">
        <v>125</v>
      </c>
      <c r="G64" s="54" t="s">
        <v>652</v>
      </c>
      <c r="H64" s="54" t="s">
        <v>653</v>
      </c>
      <c r="I64" s="53" t="s">
        <v>654</v>
      </c>
      <c r="J64" s="54" t="s">
        <v>655</v>
      </c>
      <c r="K64" s="53" t="s">
        <v>656</v>
      </c>
      <c r="L64" s="60" t="s">
        <v>9</v>
      </c>
      <c r="M64" s="56" t="n">
        <v>1</v>
      </c>
      <c r="N64" s="57" t="s">
        <v>94</v>
      </c>
      <c r="O64" s="51" t="s">
        <v>95</v>
      </c>
      <c r="P64" s="54"/>
      <c r="Q64" s="54" t="s">
        <v>131</v>
      </c>
      <c r="R64" s="58" t="s">
        <v>132</v>
      </c>
      <c r="S64" s="54" t="s">
        <v>98</v>
      </c>
    </row>
    <row r="65" customFormat="false" ht="35.05" hidden="false" customHeight="false" outlineLevel="0" collapsed="false">
      <c r="A65" s="51" t="s">
        <v>657</v>
      </c>
      <c r="B65" s="51" t="n">
        <v>61</v>
      </c>
      <c r="C65" s="52" t="s">
        <v>658</v>
      </c>
      <c r="D65" s="53" t="s">
        <v>659</v>
      </c>
      <c r="E65" s="54" t="s">
        <v>660</v>
      </c>
      <c r="F65" s="54" t="s">
        <v>115</v>
      </c>
      <c r="G65" s="54" t="s">
        <v>661</v>
      </c>
      <c r="H65" s="54" t="s">
        <v>662</v>
      </c>
      <c r="I65" s="53" t="s">
        <v>663</v>
      </c>
      <c r="J65" s="54" t="s">
        <v>664</v>
      </c>
      <c r="K65" s="53" t="s">
        <v>665</v>
      </c>
      <c r="L65" s="60" t="s">
        <v>9</v>
      </c>
      <c r="M65" s="56" t="n">
        <v>1</v>
      </c>
      <c r="N65" s="57" t="s">
        <v>94</v>
      </c>
      <c r="O65" s="51" t="s">
        <v>95</v>
      </c>
      <c r="P65" s="54"/>
      <c r="Q65" s="54" t="s">
        <v>96</v>
      </c>
      <c r="R65" s="58" t="s">
        <v>97</v>
      </c>
      <c r="S65" s="54" t="s">
        <v>98</v>
      </c>
    </row>
    <row r="66" customFormat="false" ht="35.05" hidden="false" customHeight="false" outlineLevel="0" collapsed="false">
      <c r="A66" s="51" t="s">
        <v>666</v>
      </c>
      <c r="B66" s="51" t="n">
        <v>62</v>
      </c>
      <c r="C66" s="52" t="s">
        <v>667</v>
      </c>
      <c r="D66" s="53" t="s">
        <v>668</v>
      </c>
      <c r="E66" s="54" t="s">
        <v>669</v>
      </c>
      <c r="F66" s="54" t="s">
        <v>115</v>
      </c>
      <c r="G66" s="54" t="s">
        <v>670</v>
      </c>
      <c r="H66" s="54" t="s">
        <v>671</v>
      </c>
      <c r="I66" s="53" t="s">
        <v>672</v>
      </c>
      <c r="J66" s="54" t="s">
        <v>673</v>
      </c>
      <c r="K66" s="53" t="s">
        <v>674</v>
      </c>
      <c r="L66" s="60" t="s">
        <v>9</v>
      </c>
      <c r="M66" s="56" t="n">
        <v>1</v>
      </c>
      <c r="N66" s="57" t="s">
        <v>94</v>
      </c>
      <c r="O66" s="51" t="s">
        <v>95</v>
      </c>
      <c r="P66" s="54"/>
      <c r="Q66" s="54" t="s">
        <v>131</v>
      </c>
      <c r="R66" s="58" t="s">
        <v>132</v>
      </c>
      <c r="S66" s="54" t="s">
        <v>98</v>
      </c>
    </row>
    <row r="67" customFormat="false" ht="35.05" hidden="false" customHeight="false" outlineLevel="0" collapsed="false">
      <c r="A67" s="51" t="s">
        <v>675</v>
      </c>
      <c r="B67" s="51" t="n">
        <v>63</v>
      </c>
      <c r="C67" s="52" t="s">
        <v>676</v>
      </c>
      <c r="D67" s="53" t="s">
        <v>677</v>
      </c>
      <c r="E67" s="54" t="s">
        <v>678</v>
      </c>
      <c r="F67" s="54" t="s">
        <v>115</v>
      </c>
      <c r="G67" s="54" t="s">
        <v>679</v>
      </c>
      <c r="H67" s="54" t="s">
        <v>680</v>
      </c>
      <c r="I67" s="53" t="s">
        <v>681</v>
      </c>
      <c r="J67" s="54" t="s">
        <v>682</v>
      </c>
      <c r="K67" s="53" t="s">
        <v>683</v>
      </c>
      <c r="L67" s="60" t="s">
        <v>9</v>
      </c>
      <c r="M67" s="56" t="n">
        <v>1</v>
      </c>
      <c r="N67" s="57" t="s">
        <v>94</v>
      </c>
      <c r="O67" s="51" t="s">
        <v>95</v>
      </c>
      <c r="P67" s="54"/>
      <c r="Q67" s="54" t="s">
        <v>131</v>
      </c>
      <c r="R67" s="58" t="s">
        <v>132</v>
      </c>
      <c r="S67" s="54" t="s">
        <v>98</v>
      </c>
    </row>
    <row r="68" customFormat="false" ht="35.05" hidden="false" customHeight="false" outlineLevel="0" collapsed="false">
      <c r="A68" s="51" t="s">
        <v>684</v>
      </c>
      <c r="B68" s="51" t="n">
        <v>64</v>
      </c>
      <c r="C68" s="52" t="s">
        <v>685</v>
      </c>
      <c r="D68" s="53" t="s">
        <v>686</v>
      </c>
      <c r="E68" s="54" t="s">
        <v>687</v>
      </c>
      <c r="F68" s="54" t="s">
        <v>115</v>
      </c>
      <c r="G68" s="54" t="s">
        <v>688</v>
      </c>
      <c r="H68" s="54" t="s">
        <v>689</v>
      </c>
      <c r="I68" s="53" t="s">
        <v>690</v>
      </c>
      <c r="J68" s="54" t="s">
        <v>691</v>
      </c>
      <c r="K68" s="53" t="s">
        <v>692</v>
      </c>
      <c r="L68" s="60" t="s">
        <v>9</v>
      </c>
      <c r="M68" s="56" t="n">
        <v>1</v>
      </c>
      <c r="N68" s="57" t="s">
        <v>94</v>
      </c>
      <c r="O68" s="51" t="s">
        <v>95</v>
      </c>
      <c r="P68" s="54"/>
      <c r="Q68" s="54" t="s">
        <v>131</v>
      </c>
      <c r="R68" s="58" t="s">
        <v>132</v>
      </c>
      <c r="S68" s="54" t="s">
        <v>98</v>
      </c>
    </row>
    <row r="69" customFormat="false" ht="46.25" hidden="false" customHeight="false" outlineLevel="0" collapsed="false">
      <c r="A69" s="51" t="s">
        <v>693</v>
      </c>
      <c r="B69" s="51" t="n">
        <v>65</v>
      </c>
      <c r="C69" s="52" t="s">
        <v>694</v>
      </c>
      <c r="D69" s="53" t="s">
        <v>695</v>
      </c>
      <c r="E69" s="54" t="s">
        <v>696</v>
      </c>
      <c r="F69" s="54" t="s">
        <v>137</v>
      </c>
      <c r="G69" s="54" t="s">
        <v>697</v>
      </c>
      <c r="H69" s="54" t="s">
        <v>698</v>
      </c>
      <c r="I69" s="53" t="s">
        <v>699</v>
      </c>
      <c r="J69" s="54" t="s">
        <v>700</v>
      </c>
      <c r="K69" s="53" t="s">
        <v>701</v>
      </c>
      <c r="L69" s="60" t="s">
        <v>9</v>
      </c>
      <c r="M69" s="56" t="n">
        <v>1</v>
      </c>
      <c r="N69" s="57" t="s">
        <v>94</v>
      </c>
      <c r="O69" s="51" t="s">
        <v>95</v>
      </c>
      <c r="P69" s="54"/>
      <c r="Q69" s="54" t="s">
        <v>109</v>
      </c>
      <c r="R69" s="58" t="s">
        <v>110</v>
      </c>
      <c r="S69" s="54" t="s">
        <v>98</v>
      </c>
    </row>
    <row r="70" customFormat="false" ht="35.05" hidden="false" customHeight="false" outlineLevel="0" collapsed="false">
      <c r="A70" s="51" t="s">
        <v>702</v>
      </c>
      <c r="B70" s="51" t="n">
        <v>66</v>
      </c>
      <c r="C70" s="52" t="s">
        <v>703</v>
      </c>
      <c r="D70" s="53" t="s">
        <v>704</v>
      </c>
      <c r="E70" s="54" t="s">
        <v>705</v>
      </c>
      <c r="F70" s="54" t="s">
        <v>222</v>
      </c>
      <c r="G70" s="54" t="s">
        <v>706</v>
      </c>
      <c r="H70" s="54" t="s">
        <v>707</v>
      </c>
      <c r="I70" s="53" t="s">
        <v>708</v>
      </c>
      <c r="J70" s="54" t="s">
        <v>709</v>
      </c>
      <c r="K70" s="53" t="s">
        <v>710</v>
      </c>
      <c r="L70" s="60" t="s">
        <v>9</v>
      </c>
      <c r="M70" s="56" t="n">
        <v>1</v>
      </c>
      <c r="N70" s="57" t="s">
        <v>94</v>
      </c>
      <c r="O70" s="51" t="s">
        <v>95</v>
      </c>
      <c r="P70" s="54"/>
      <c r="Q70" s="54" t="s">
        <v>131</v>
      </c>
      <c r="R70" s="58" t="s">
        <v>132</v>
      </c>
      <c r="S70" s="54" t="s">
        <v>98</v>
      </c>
    </row>
    <row r="71" customFormat="false" ht="35.05" hidden="false" customHeight="false" outlineLevel="0" collapsed="false">
      <c r="A71" s="51" t="s">
        <v>711</v>
      </c>
      <c r="B71" s="51" t="n">
        <v>67</v>
      </c>
      <c r="C71" s="52" t="s">
        <v>712</v>
      </c>
      <c r="D71" s="53" t="s">
        <v>713</v>
      </c>
      <c r="E71" s="54" t="s">
        <v>714</v>
      </c>
      <c r="F71" s="54" t="s">
        <v>115</v>
      </c>
      <c r="G71" s="54" t="s">
        <v>715</v>
      </c>
      <c r="H71" s="54" t="s">
        <v>716</v>
      </c>
      <c r="I71" s="53" t="s">
        <v>717</v>
      </c>
      <c r="J71" s="54" t="s">
        <v>718</v>
      </c>
      <c r="K71" s="53" t="s">
        <v>719</v>
      </c>
      <c r="L71" s="60" t="s">
        <v>9</v>
      </c>
      <c r="M71" s="56" t="n">
        <v>1</v>
      </c>
      <c r="N71" s="57" t="s">
        <v>94</v>
      </c>
      <c r="O71" s="51" t="s">
        <v>95</v>
      </c>
      <c r="P71" s="54"/>
      <c r="Q71" s="54" t="s">
        <v>131</v>
      </c>
      <c r="R71" s="58" t="s">
        <v>132</v>
      </c>
      <c r="S71" s="54" t="s">
        <v>98</v>
      </c>
    </row>
    <row r="72" customFormat="false" ht="35.05" hidden="false" customHeight="false" outlineLevel="0" collapsed="false">
      <c r="A72" s="51" t="s">
        <v>720</v>
      </c>
      <c r="B72" s="51" t="n">
        <v>68</v>
      </c>
      <c r="C72" s="52" t="s">
        <v>721</v>
      </c>
      <c r="D72" s="53" t="s">
        <v>722</v>
      </c>
      <c r="E72" s="54" t="s">
        <v>723</v>
      </c>
      <c r="F72" s="54" t="s">
        <v>125</v>
      </c>
      <c r="G72" s="54" t="s">
        <v>724</v>
      </c>
      <c r="H72" s="54" t="s">
        <v>725</v>
      </c>
      <c r="I72" s="53" t="s">
        <v>726</v>
      </c>
      <c r="J72" s="54" t="s">
        <v>727</v>
      </c>
      <c r="K72" s="53" t="s">
        <v>728</v>
      </c>
      <c r="L72" s="60" t="s">
        <v>9</v>
      </c>
      <c r="M72" s="56" t="n">
        <v>1</v>
      </c>
      <c r="N72" s="57" t="s">
        <v>94</v>
      </c>
      <c r="O72" s="51" t="s">
        <v>95</v>
      </c>
      <c r="P72" s="54"/>
      <c r="Q72" s="54" t="s">
        <v>131</v>
      </c>
      <c r="R72" s="58" t="s">
        <v>132</v>
      </c>
      <c r="S72" s="54" t="s">
        <v>98</v>
      </c>
    </row>
    <row r="73" customFormat="false" ht="35.05" hidden="false" customHeight="false" outlineLevel="0" collapsed="false">
      <c r="A73" s="51" t="s">
        <v>729</v>
      </c>
      <c r="B73" s="51" t="n">
        <v>69</v>
      </c>
      <c r="C73" s="52" t="s">
        <v>730</v>
      </c>
      <c r="D73" s="53" t="s">
        <v>731</v>
      </c>
      <c r="E73" s="54" t="s">
        <v>732</v>
      </c>
      <c r="F73" s="54" t="s">
        <v>115</v>
      </c>
      <c r="G73" s="54" t="s">
        <v>733</v>
      </c>
      <c r="H73" s="54" t="s">
        <v>734</v>
      </c>
      <c r="I73" s="53" t="s">
        <v>735</v>
      </c>
      <c r="J73" s="54" t="s">
        <v>736</v>
      </c>
      <c r="K73" s="53" t="s">
        <v>737</v>
      </c>
      <c r="L73" s="60" t="s">
        <v>9</v>
      </c>
      <c r="M73" s="56" t="n">
        <v>1</v>
      </c>
      <c r="N73" s="57" t="s">
        <v>94</v>
      </c>
      <c r="O73" s="51" t="s">
        <v>95</v>
      </c>
      <c r="P73" s="54"/>
      <c r="Q73" s="54" t="s">
        <v>131</v>
      </c>
      <c r="R73" s="58" t="s">
        <v>132</v>
      </c>
      <c r="S73" s="54" t="s">
        <v>98</v>
      </c>
    </row>
    <row r="74" customFormat="false" ht="35.05" hidden="false" customHeight="false" outlineLevel="0" collapsed="false">
      <c r="A74" s="51" t="s">
        <v>738</v>
      </c>
      <c r="B74" s="51" t="n">
        <v>70</v>
      </c>
      <c r="C74" s="52" t="s">
        <v>739</v>
      </c>
      <c r="D74" s="53" t="s">
        <v>740</v>
      </c>
      <c r="E74" s="54" t="s">
        <v>741</v>
      </c>
      <c r="F74" s="54" t="s">
        <v>115</v>
      </c>
      <c r="G74" s="54" t="s">
        <v>742</v>
      </c>
      <c r="H74" s="54" t="s">
        <v>743</v>
      </c>
      <c r="I74" s="53" t="s">
        <v>744</v>
      </c>
      <c r="J74" s="54" t="s">
        <v>745</v>
      </c>
      <c r="K74" s="53" t="s">
        <v>746</v>
      </c>
      <c r="L74" s="60" t="s">
        <v>9</v>
      </c>
      <c r="M74" s="56" t="n">
        <v>1</v>
      </c>
      <c r="N74" s="57" t="s">
        <v>94</v>
      </c>
      <c r="O74" s="51" t="s">
        <v>95</v>
      </c>
      <c r="P74" s="54"/>
      <c r="Q74" s="54" t="s">
        <v>131</v>
      </c>
      <c r="R74" s="58" t="s">
        <v>132</v>
      </c>
      <c r="S74" s="54" t="s">
        <v>98</v>
      </c>
    </row>
    <row r="75" customFormat="false" ht="35.05" hidden="false" customHeight="false" outlineLevel="0" collapsed="false">
      <c r="A75" s="51" t="s">
        <v>747</v>
      </c>
      <c r="B75" s="51" t="n">
        <v>71</v>
      </c>
      <c r="C75" s="52" t="s">
        <v>748</v>
      </c>
      <c r="D75" s="53" t="s">
        <v>749</v>
      </c>
      <c r="E75" s="54" t="s">
        <v>750</v>
      </c>
      <c r="F75" s="54" t="s">
        <v>391</v>
      </c>
      <c r="G75" s="54" t="s">
        <v>751</v>
      </c>
      <c r="H75" s="54" t="s">
        <v>752</v>
      </c>
      <c r="I75" s="53" t="s">
        <v>753</v>
      </c>
      <c r="J75" s="54" t="s">
        <v>754</v>
      </c>
      <c r="K75" s="53" t="s">
        <v>755</v>
      </c>
      <c r="L75" s="61" t="s">
        <v>10</v>
      </c>
      <c r="M75" s="56" t="n">
        <v>1</v>
      </c>
      <c r="N75" s="57" t="s">
        <v>94</v>
      </c>
      <c r="O75" s="51" t="s">
        <v>95</v>
      </c>
      <c r="P75" s="54"/>
      <c r="Q75" s="54" t="s">
        <v>96</v>
      </c>
      <c r="R75" s="58" t="s">
        <v>97</v>
      </c>
      <c r="S75" s="54" t="s">
        <v>98</v>
      </c>
    </row>
    <row r="76" customFormat="false" ht="35.05" hidden="false" customHeight="false" outlineLevel="0" collapsed="false">
      <c r="A76" s="51" t="s">
        <v>756</v>
      </c>
      <c r="B76" s="51" t="n">
        <v>72</v>
      </c>
      <c r="C76" s="52" t="s">
        <v>757</v>
      </c>
      <c r="D76" s="53" t="s">
        <v>758</v>
      </c>
      <c r="E76" s="54" t="s">
        <v>759</v>
      </c>
      <c r="F76" s="54" t="s">
        <v>391</v>
      </c>
      <c r="G76" s="54" t="s">
        <v>760</v>
      </c>
      <c r="H76" s="54" t="s">
        <v>761</v>
      </c>
      <c r="I76" s="53" t="s">
        <v>762</v>
      </c>
      <c r="J76" s="54" t="s">
        <v>763</v>
      </c>
      <c r="K76" s="53" t="s">
        <v>764</v>
      </c>
      <c r="L76" s="61" t="s">
        <v>10</v>
      </c>
      <c r="M76" s="56" t="n">
        <v>1</v>
      </c>
      <c r="N76" s="57" t="s">
        <v>94</v>
      </c>
      <c r="O76" s="51" t="s">
        <v>95</v>
      </c>
      <c r="P76" s="54"/>
      <c r="Q76" s="54" t="s">
        <v>96</v>
      </c>
      <c r="R76" s="58" t="s">
        <v>97</v>
      </c>
      <c r="S76" s="54" t="s">
        <v>98</v>
      </c>
    </row>
    <row r="77" customFormat="false" ht="35.05" hidden="false" customHeight="false" outlineLevel="0" collapsed="false">
      <c r="A77" s="51" t="s">
        <v>765</v>
      </c>
      <c r="B77" s="51" t="n">
        <v>73</v>
      </c>
      <c r="C77" s="52" t="s">
        <v>766</v>
      </c>
      <c r="D77" s="53" t="s">
        <v>767</v>
      </c>
      <c r="E77" s="54" t="s">
        <v>768</v>
      </c>
      <c r="F77" s="54" t="s">
        <v>391</v>
      </c>
      <c r="G77" s="54" t="s">
        <v>769</v>
      </c>
      <c r="H77" s="54" t="s">
        <v>770</v>
      </c>
      <c r="I77" s="53" t="s">
        <v>771</v>
      </c>
      <c r="J77" s="54" t="s">
        <v>772</v>
      </c>
      <c r="K77" s="53" t="s">
        <v>773</v>
      </c>
      <c r="L77" s="61" t="s">
        <v>10</v>
      </c>
      <c r="M77" s="56" t="n">
        <v>1</v>
      </c>
      <c r="N77" s="57" t="s">
        <v>94</v>
      </c>
      <c r="O77" s="51" t="s">
        <v>95</v>
      </c>
      <c r="P77" s="54"/>
      <c r="Q77" s="54" t="s">
        <v>96</v>
      </c>
      <c r="R77" s="58" t="s">
        <v>97</v>
      </c>
      <c r="S77" s="54" t="s">
        <v>98</v>
      </c>
    </row>
    <row r="78" customFormat="false" ht="35.05" hidden="false" customHeight="false" outlineLevel="0" collapsed="false">
      <c r="A78" s="51" t="s">
        <v>774</v>
      </c>
      <c r="B78" s="51" t="n">
        <v>74</v>
      </c>
      <c r="C78" s="52" t="s">
        <v>775</v>
      </c>
      <c r="D78" s="53" t="s">
        <v>776</v>
      </c>
      <c r="E78" s="54" t="s">
        <v>777</v>
      </c>
      <c r="F78" s="54" t="s">
        <v>391</v>
      </c>
      <c r="G78" s="54" t="s">
        <v>778</v>
      </c>
      <c r="H78" s="54" t="s">
        <v>779</v>
      </c>
      <c r="I78" s="53" t="s">
        <v>780</v>
      </c>
      <c r="J78" s="54" t="s">
        <v>781</v>
      </c>
      <c r="K78" s="53" t="s">
        <v>782</v>
      </c>
      <c r="L78" s="61" t="s">
        <v>10</v>
      </c>
      <c r="M78" s="56" t="n">
        <v>1</v>
      </c>
      <c r="N78" s="57" t="s">
        <v>94</v>
      </c>
      <c r="O78" s="51" t="s">
        <v>95</v>
      </c>
      <c r="P78" s="54"/>
      <c r="Q78" s="54" t="s">
        <v>131</v>
      </c>
      <c r="R78" s="58" t="s">
        <v>132</v>
      </c>
      <c r="S78" s="54" t="s">
        <v>98</v>
      </c>
    </row>
    <row r="79" customFormat="false" ht="35.05" hidden="false" customHeight="false" outlineLevel="0" collapsed="false">
      <c r="A79" s="51" t="s">
        <v>783</v>
      </c>
      <c r="B79" s="51" t="n">
        <v>75</v>
      </c>
      <c r="C79" s="52" t="s">
        <v>784</v>
      </c>
      <c r="D79" s="53" t="s">
        <v>785</v>
      </c>
      <c r="E79" s="54" t="s">
        <v>786</v>
      </c>
      <c r="F79" s="54" t="s">
        <v>391</v>
      </c>
      <c r="G79" s="54" t="s">
        <v>787</v>
      </c>
      <c r="H79" s="54" t="s">
        <v>788</v>
      </c>
      <c r="I79" s="53" t="s">
        <v>789</v>
      </c>
      <c r="J79" s="54" t="s">
        <v>790</v>
      </c>
      <c r="K79" s="53" t="s">
        <v>791</v>
      </c>
      <c r="L79" s="61" t="s">
        <v>10</v>
      </c>
      <c r="M79" s="56" t="n">
        <v>1</v>
      </c>
      <c r="N79" s="57" t="s">
        <v>94</v>
      </c>
      <c r="O79" s="51" t="s">
        <v>95</v>
      </c>
      <c r="P79" s="54"/>
      <c r="Q79" s="54" t="s">
        <v>96</v>
      </c>
      <c r="R79" s="58" t="s">
        <v>97</v>
      </c>
      <c r="S79" s="54" t="s">
        <v>98</v>
      </c>
    </row>
    <row r="80" customFormat="false" ht="35.05" hidden="false" customHeight="false" outlineLevel="0" collapsed="false">
      <c r="A80" s="51" t="s">
        <v>792</v>
      </c>
      <c r="B80" s="51" t="n">
        <v>76</v>
      </c>
      <c r="C80" s="52" t="s">
        <v>793</v>
      </c>
      <c r="D80" s="53" t="s">
        <v>794</v>
      </c>
      <c r="E80" s="54" t="s">
        <v>795</v>
      </c>
      <c r="F80" s="54" t="s">
        <v>137</v>
      </c>
      <c r="G80" s="54" t="s">
        <v>796</v>
      </c>
      <c r="H80" s="54" t="s">
        <v>797</v>
      </c>
      <c r="I80" s="53" t="s">
        <v>798</v>
      </c>
      <c r="J80" s="54" t="s">
        <v>799</v>
      </c>
      <c r="K80" s="53" t="s">
        <v>800</v>
      </c>
      <c r="L80" s="61" t="s">
        <v>10</v>
      </c>
      <c r="M80" s="56" t="n">
        <v>1</v>
      </c>
      <c r="N80" s="57" t="s">
        <v>94</v>
      </c>
      <c r="O80" s="51" t="s">
        <v>95</v>
      </c>
      <c r="P80" s="54"/>
      <c r="Q80" s="54" t="s">
        <v>96</v>
      </c>
      <c r="R80" s="58" t="s">
        <v>97</v>
      </c>
      <c r="S80" s="54" t="s">
        <v>98</v>
      </c>
    </row>
    <row r="81" customFormat="false" ht="35.05" hidden="false" customHeight="false" outlineLevel="0" collapsed="false">
      <c r="A81" s="51" t="s">
        <v>801</v>
      </c>
      <c r="B81" s="51" t="n">
        <v>77</v>
      </c>
      <c r="C81" s="52" t="s">
        <v>802</v>
      </c>
      <c r="D81" s="53" t="s">
        <v>803</v>
      </c>
      <c r="E81" s="54" t="s">
        <v>804</v>
      </c>
      <c r="F81" s="54" t="s">
        <v>391</v>
      </c>
      <c r="G81" s="54" t="s">
        <v>805</v>
      </c>
      <c r="H81" s="54" t="s">
        <v>806</v>
      </c>
      <c r="I81" s="53" t="s">
        <v>807</v>
      </c>
      <c r="J81" s="54" t="s">
        <v>808</v>
      </c>
      <c r="K81" s="53" t="s">
        <v>809</v>
      </c>
      <c r="L81" s="61" t="s">
        <v>10</v>
      </c>
      <c r="M81" s="56" t="n">
        <v>1</v>
      </c>
      <c r="N81" s="57" t="s">
        <v>94</v>
      </c>
      <c r="O81" s="51" t="s">
        <v>95</v>
      </c>
      <c r="P81" s="54"/>
      <c r="Q81" s="54" t="s">
        <v>96</v>
      </c>
      <c r="R81" s="58" t="s">
        <v>97</v>
      </c>
      <c r="S81" s="54" t="s">
        <v>98</v>
      </c>
    </row>
    <row r="82" customFormat="false" ht="35.05" hidden="false" customHeight="false" outlineLevel="0" collapsed="false">
      <c r="A82" s="51" t="s">
        <v>810</v>
      </c>
      <c r="B82" s="51" t="n">
        <v>78</v>
      </c>
      <c r="C82" s="52" t="s">
        <v>811</v>
      </c>
      <c r="D82" s="53" t="s">
        <v>812</v>
      </c>
      <c r="E82" s="54" t="s">
        <v>813</v>
      </c>
      <c r="F82" s="54" t="s">
        <v>115</v>
      </c>
      <c r="G82" s="54" t="s">
        <v>814</v>
      </c>
      <c r="H82" s="54" t="s">
        <v>815</v>
      </c>
      <c r="I82" s="53" t="s">
        <v>816</v>
      </c>
      <c r="J82" s="54" t="s">
        <v>817</v>
      </c>
      <c r="K82" s="53" t="s">
        <v>818</v>
      </c>
      <c r="L82" s="61" t="s">
        <v>10</v>
      </c>
      <c r="M82" s="56" t="n">
        <v>1</v>
      </c>
      <c r="N82" s="57" t="s">
        <v>94</v>
      </c>
      <c r="O82" s="51" t="s">
        <v>95</v>
      </c>
      <c r="P82" s="54"/>
      <c r="Q82" s="54" t="s">
        <v>131</v>
      </c>
      <c r="R82" s="58" t="s">
        <v>132</v>
      </c>
      <c r="S82" s="54" t="s">
        <v>98</v>
      </c>
    </row>
    <row r="83" customFormat="false" ht="35.05" hidden="false" customHeight="false" outlineLevel="0" collapsed="false">
      <c r="A83" s="51" t="s">
        <v>819</v>
      </c>
      <c r="B83" s="51" t="n">
        <v>79</v>
      </c>
      <c r="C83" s="52" t="s">
        <v>820</v>
      </c>
      <c r="D83" s="53" t="s">
        <v>821</v>
      </c>
      <c r="E83" s="54" t="s">
        <v>822</v>
      </c>
      <c r="F83" s="54" t="s">
        <v>823</v>
      </c>
      <c r="G83" s="54" t="s">
        <v>824</v>
      </c>
      <c r="H83" s="54" t="s">
        <v>825</v>
      </c>
      <c r="I83" s="53" t="s">
        <v>826</v>
      </c>
      <c r="J83" s="54" t="s">
        <v>827</v>
      </c>
      <c r="K83" s="53" t="s">
        <v>828</v>
      </c>
      <c r="L83" s="61" t="s">
        <v>10</v>
      </c>
      <c r="M83" s="56" t="n">
        <v>1</v>
      </c>
      <c r="N83" s="57" t="s">
        <v>94</v>
      </c>
      <c r="O83" s="51" t="s">
        <v>95</v>
      </c>
      <c r="P83" s="54"/>
      <c r="Q83" s="54" t="s">
        <v>96</v>
      </c>
      <c r="R83" s="58" t="s">
        <v>97</v>
      </c>
      <c r="S83" s="54" t="s">
        <v>98</v>
      </c>
    </row>
    <row r="84" customFormat="false" ht="35.05" hidden="false" customHeight="false" outlineLevel="0" collapsed="false">
      <c r="A84" s="51" t="s">
        <v>829</v>
      </c>
      <c r="B84" s="51" t="n">
        <v>80</v>
      </c>
      <c r="C84" s="52" t="s">
        <v>830</v>
      </c>
      <c r="D84" s="53" t="s">
        <v>831</v>
      </c>
      <c r="E84" s="54" t="s">
        <v>832</v>
      </c>
      <c r="F84" s="54" t="s">
        <v>115</v>
      </c>
      <c r="G84" s="54" t="s">
        <v>833</v>
      </c>
      <c r="H84" s="54" t="s">
        <v>834</v>
      </c>
      <c r="I84" s="53" t="s">
        <v>835</v>
      </c>
      <c r="J84" s="54" t="s">
        <v>836</v>
      </c>
      <c r="K84" s="53" t="s">
        <v>837</v>
      </c>
      <c r="L84" s="61" t="s">
        <v>10</v>
      </c>
      <c r="M84" s="56" t="n">
        <v>1</v>
      </c>
      <c r="N84" s="57" t="s">
        <v>94</v>
      </c>
      <c r="O84" s="51" t="s">
        <v>95</v>
      </c>
      <c r="P84" s="54"/>
      <c r="Q84" s="54" t="s">
        <v>131</v>
      </c>
      <c r="R84" s="58" t="s">
        <v>132</v>
      </c>
      <c r="S84" s="54" t="s">
        <v>98</v>
      </c>
    </row>
    <row r="85" customFormat="false" ht="35.05" hidden="false" customHeight="false" outlineLevel="0" collapsed="false">
      <c r="A85" s="51" t="s">
        <v>838</v>
      </c>
      <c r="B85" s="51" t="n">
        <v>81</v>
      </c>
      <c r="C85" s="52" t="s">
        <v>839</v>
      </c>
      <c r="D85" s="53" t="s">
        <v>840</v>
      </c>
      <c r="E85" s="54" t="s">
        <v>841</v>
      </c>
      <c r="F85" s="54" t="s">
        <v>391</v>
      </c>
      <c r="G85" s="54" t="s">
        <v>842</v>
      </c>
      <c r="H85" s="54" t="s">
        <v>843</v>
      </c>
      <c r="I85" s="53" t="s">
        <v>844</v>
      </c>
      <c r="J85" s="54" t="s">
        <v>845</v>
      </c>
      <c r="K85" s="53" t="s">
        <v>846</v>
      </c>
      <c r="L85" s="61" t="s">
        <v>10</v>
      </c>
      <c r="M85" s="56" t="n">
        <v>1</v>
      </c>
      <c r="N85" s="57" t="s">
        <v>94</v>
      </c>
      <c r="O85" s="51" t="s">
        <v>95</v>
      </c>
      <c r="P85" s="54"/>
      <c r="Q85" s="54" t="s">
        <v>96</v>
      </c>
      <c r="R85" s="58" t="s">
        <v>97</v>
      </c>
      <c r="S85" s="54" t="s">
        <v>98</v>
      </c>
    </row>
    <row r="86" customFormat="false" ht="35.05" hidden="false" customHeight="false" outlineLevel="0" collapsed="false">
      <c r="A86" s="51" t="s">
        <v>847</v>
      </c>
      <c r="B86" s="51" t="n">
        <v>82</v>
      </c>
      <c r="C86" s="52" t="s">
        <v>848</v>
      </c>
      <c r="D86" s="53" t="s">
        <v>849</v>
      </c>
      <c r="E86" s="54" t="s">
        <v>850</v>
      </c>
      <c r="F86" s="54" t="s">
        <v>391</v>
      </c>
      <c r="G86" s="54" t="s">
        <v>851</v>
      </c>
      <c r="H86" s="54" t="s">
        <v>852</v>
      </c>
      <c r="I86" s="53" t="s">
        <v>853</v>
      </c>
      <c r="J86" s="54" t="s">
        <v>854</v>
      </c>
      <c r="K86" s="53" t="s">
        <v>855</v>
      </c>
      <c r="L86" s="61" t="s">
        <v>10</v>
      </c>
      <c r="M86" s="56" t="n">
        <v>1</v>
      </c>
      <c r="N86" s="57" t="s">
        <v>94</v>
      </c>
      <c r="O86" s="51" t="s">
        <v>95</v>
      </c>
      <c r="P86" s="54"/>
      <c r="Q86" s="54" t="s">
        <v>96</v>
      </c>
      <c r="R86" s="58" t="s">
        <v>97</v>
      </c>
      <c r="S86" s="54" t="s">
        <v>98</v>
      </c>
    </row>
    <row r="87" customFormat="false" ht="35.05" hidden="false" customHeight="false" outlineLevel="0" collapsed="false">
      <c r="A87" s="51" t="s">
        <v>856</v>
      </c>
      <c r="B87" s="51" t="n">
        <v>83</v>
      </c>
      <c r="C87" s="52" t="s">
        <v>857</v>
      </c>
      <c r="D87" s="53" t="s">
        <v>858</v>
      </c>
      <c r="E87" s="54" t="s">
        <v>859</v>
      </c>
      <c r="F87" s="54" t="s">
        <v>860</v>
      </c>
      <c r="G87" s="54" t="s">
        <v>861</v>
      </c>
      <c r="H87" s="54" t="s">
        <v>862</v>
      </c>
      <c r="I87" s="53" t="s">
        <v>863</v>
      </c>
      <c r="J87" s="54" t="s">
        <v>864</v>
      </c>
      <c r="K87" s="53" t="s">
        <v>865</v>
      </c>
      <c r="L87" s="61" t="s">
        <v>10</v>
      </c>
      <c r="M87" s="56" t="n">
        <v>1</v>
      </c>
      <c r="N87" s="57" t="s">
        <v>94</v>
      </c>
      <c r="O87" s="51" t="s">
        <v>95</v>
      </c>
      <c r="P87" s="54"/>
      <c r="Q87" s="54" t="s">
        <v>131</v>
      </c>
      <c r="R87" s="58" t="s">
        <v>132</v>
      </c>
      <c r="S87" s="54" t="s">
        <v>98</v>
      </c>
    </row>
    <row r="88" customFormat="false" ht="35.05" hidden="false" customHeight="false" outlineLevel="0" collapsed="false">
      <c r="A88" s="51" t="s">
        <v>866</v>
      </c>
      <c r="B88" s="51" t="n">
        <v>84</v>
      </c>
      <c r="C88" s="52" t="s">
        <v>867</v>
      </c>
      <c r="D88" s="53" t="s">
        <v>868</v>
      </c>
      <c r="E88" s="54" t="s">
        <v>869</v>
      </c>
      <c r="F88" s="54" t="s">
        <v>391</v>
      </c>
      <c r="G88" s="54" t="s">
        <v>870</v>
      </c>
      <c r="H88" s="54" t="s">
        <v>871</v>
      </c>
      <c r="I88" s="53" t="s">
        <v>872</v>
      </c>
      <c r="J88" s="54" t="s">
        <v>873</v>
      </c>
      <c r="K88" s="53" t="s">
        <v>874</v>
      </c>
      <c r="L88" s="61" t="s">
        <v>10</v>
      </c>
      <c r="M88" s="56" t="n">
        <v>1</v>
      </c>
      <c r="N88" s="57" t="s">
        <v>94</v>
      </c>
      <c r="O88" s="51" t="s">
        <v>95</v>
      </c>
      <c r="P88" s="54"/>
      <c r="Q88" s="54" t="s">
        <v>96</v>
      </c>
      <c r="R88" s="58" t="s">
        <v>97</v>
      </c>
      <c r="S88" s="54" t="s">
        <v>98</v>
      </c>
    </row>
    <row r="89" customFormat="false" ht="35.05" hidden="false" customHeight="false" outlineLevel="0" collapsed="false">
      <c r="A89" s="51" t="s">
        <v>875</v>
      </c>
      <c r="B89" s="51" t="n">
        <v>85</v>
      </c>
      <c r="C89" s="52" t="s">
        <v>876</v>
      </c>
      <c r="D89" s="53" t="s">
        <v>877</v>
      </c>
      <c r="E89" s="54" t="s">
        <v>878</v>
      </c>
      <c r="F89" s="54" t="s">
        <v>391</v>
      </c>
      <c r="G89" s="54" t="s">
        <v>879</v>
      </c>
      <c r="H89" s="54" t="s">
        <v>880</v>
      </c>
      <c r="I89" s="53" t="s">
        <v>881</v>
      </c>
      <c r="J89" s="54" t="s">
        <v>882</v>
      </c>
      <c r="K89" s="53" t="s">
        <v>883</v>
      </c>
      <c r="L89" s="61" t="s">
        <v>10</v>
      </c>
      <c r="M89" s="56" t="n">
        <v>1</v>
      </c>
      <c r="N89" s="57" t="s">
        <v>94</v>
      </c>
      <c r="O89" s="51" t="s">
        <v>95</v>
      </c>
      <c r="P89" s="54"/>
      <c r="Q89" s="54" t="s">
        <v>96</v>
      </c>
      <c r="R89" s="58" t="s">
        <v>97</v>
      </c>
      <c r="S89" s="54" t="s">
        <v>98</v>
      </c>
    </row>
    <row r="90" customFormat="false" ht="35.05" hidden="false" customHeight="false" outlineLevel="0" collapsed="false">
      <c r="A90" s="51" t="s">
        <v>884</v>
      </c>
      <c r="B90" s="51" t="n">
        <v>86</v>
      </c>
      <c r="C90" s="52" t="s">
        <v>885</v>
      </c>
      <c r="D90" s="53" t="s">
        <v>886</v>
      </c>
      <c r="E90" s="54" t="s">
        <v>887</v>
      </c>
      <c r="F90" s="54" t="s">
        <v>391</v>
      </c>
      <c r="G90" s="54" t="s">
        <v>888</v>
      </c>
      <c r="H90" s="54" t="s">
        <v>889</v>
      </c>
      <c r="I90" s="53" t="s">
        <v>890</v>
      </c>
      <c r="J90" s="54" t="s">
        <v>891</v>
      </c>
      <c r="K90" s="53" t="s">
        <v>892</v>
      </c>
      <c r="L90" s="61" t="s">
        <v>10</v>
      </c>
      <c r="M90" s="56" t="n">
        <v>1</v>
      </c>
      <c r="N90" s="57" t="s">
        <v>94</v>
      </c>
      <c r="O90" s="51" t="s">
        <v>95</v>
      </c>
      <c r="P90" s="54"/>
      <c r="Q90" s="54" t="s">
        <v>96</v>
      </c>
      <c r="R90" s="58" t="s">
        <v>97</v>
      </c>
      <c r="S90" s="54" t="s">
        <v>98</v>
      </c>
    </row>
    <row r="91" customFormat="false" ht="35.05" hidden="false" customHeight="false" outlineLevel="0" collapsed="false">
      <c r="A91" s="51" t="s">
        <v>893</v>
      </c>
      <c r="B91" s="51" t="n">
        <v>87</v>
      </c>
      <c r="C91" s="52" t="s">
        <v>894</v>
      </c>
      <c r="D91" s="53" t="s">
        <v>895</v>
      </c>
      <c r="E91" s="54" t="s">
        <v>896</v>
      </c>
      <c r="F91" s="54" t="s">
        <v>115</v>
      </c>
      <c r="G91" s="54" t="s">
        <v>897</v>
      </c>
      <c r="H91" s="54" t="s">
        <v>898</v>
      </c>
      <c r="I91" s="53" t="s">
        <v>899</v>
      </c>
      <c r="J91" s="54" t="s">
        <v>900</v>
      </c>
      <c r="K91" s="53" t="s">
        <v>901</v>
      </c>
      <c r="L91" s="61" t="s">
        <v>10</v>
      </c>
      <c r="M91" s="56" t="n">
        <v>1</v>
      </c>
      <c r="N91" s="57" t="s">
        <v>94</v>
      </c>
      <c r="O91" s="51" t="s">
        <v>95</v>
      </c>
      <c r="P91" s="54"/>
      <c r="Q91" s="54" t="s">
        <v>96</v>
      </c>
      <c r="R91" s="58" t="s">
        <v>97</v>
      </c>
      <c r="S91" s="54" t="s">
        <v>98</v>
      </c>
    </row>
    <row r="92" customFormat="false" ht="35.05" hidden="false" customHeight="false" outlineLevel="0" collapsed="false">
      <c r="A92" s="51" t="s">
        <v>902</v>
      </c>
      <c r="B92" s="51" t="n">
        <v>88</v>
      </c>
      <c r="C92" s="52" t="s">
        <v>903</v>
      </c>
      <c r="D92" s="53" t="s">
        <v>904</v>
      </c>
      <c r="E92" s="54" t="s">
        <v>905</v>
      </c>
      <c r="F92" s="54" t="s">
        <v>115</v>
      </c>
      <c r="G92" s="54" t="s">
        <v>906</v>
      </c>
      <c r="H92" s="54" t="s">
        <v>907</v>
      </c>
      <c r="I92" s="53" t="s">
        <v>908</v>
      </c>
      <c r="J92" s="54" t="s">
        <v>909</v>
      </c>
      <c r="K92" s="53" t="s">
        <v>910</v>
      </c>
      <c r="L92" s="61" t="s">
        <v>10</v>
      </c>
      <c r="M92" s="56" t="n">
        <v>1</v>
      </c>
      <c r="N92" s="57" t="s">
        <v>94</v>
      </c>
      <c r="O92" s="51" t="s">
        <v>95</v>
      </c>
      <c r="P92" s="54"/>
      <c r="Q92" s="54" t="s">
        <v>131</v>
      </c>
      <c r="R92" s="58" t="s">
        <v>132</v>
      </c>
      <c r="S92" s="54" t="s">
        <v>98</v>
      </c>
    </row>
    <row r="93" customFormat="false" ht="35.05" hidden="false" customHeight="false" outlineLevel="0" collapsed="false">
      <c r="A93" s="51" t="s">
        <v>911</v>
      </c>
      <c r="B93" s="51" t="n">
        <v>89</v>
      </c>
      <c r="C93" s="52" t="s">
        <v>912</v>
      </c>
      <c r="D93" s="53" t="s">
        <v>913</v>
      </c>
      <c r="E93" s="54" t="s">
        <v>914</v>
      </c>
      <c r="F93" s="54" t="s">
        <v>391</v>
      </c>
      <c r="G93" s="54" t="s">
        <v>915</v>
      </c>
      <c r="H93" s="54" t="s">
        <v>916</v>
      </c>
      <c r="I93" s="53" t="s">
        <v>917</v>
      </c>
      <c r="J93" s="54" t="s">
        <v>918</v>
      </c>
      <c r="K93" s="53" t="s">
        <v>919</v>
      </c>
      <c r="L93" s="61" t="s">
        <v>10</v>
      </c>
      <c r="M93" s="56" t="n">
        <v>1</v>
      </c>
      <c r="N93" s="57" t="s">
        <v>94</v>
      </c>
      <c r="O93" s="51" t="s">
        <v>95</v>
      </c>
      <c r="P93" s="54"/>
      <c r="Q93" s="54" t="s">
        <v>96</v>
      </c>
      <c r="R93" s="58" t="s">
        <v>97</v>
      </c>
      <c r="S93" s="54" t="s">
        <v>98</v>
      </c>
    </row>
    <row r="94" customFormat="false" ht="35.05" hidden="false" customHeight="false" outlineLevel="0" collapsed="false">
      <c r="A94" s="51" t="s">
        <v>920</v>
      </c>
      <c r="B94" s="51" t="n">
        <v>90</v>
      </c>
      <c r="C94" s="52" t="s">
        <v>921</v>
      </c>
      <c r="D94" s="53" t="s">
        <v>922</v>
      </c>
      <c r="E94" s="54" t="s">
        <v>923</v>
      </c>
      <c r="F94" s="54" t="s">
        <v>391</v>
      </c>
      <c r="G94" s="54" t="s">
        <v>924</v>
      </c>
      <c r="H94" s="54" t="s">
        <v>925</v>
      </c>
      <c r="I94" s="53" t="s">
        <v>926</v>
      </c>
      <c r="J94" s="54" t="s">
        <v>927</v>
      </c>
      <c r="K94" s="53" t="s">
        <v>928</v>
      </c>
      <c r="L94" s="61" t="s">
        <v>10</v>
      </c>
      <c r="M94" s="56" t="n">
        <v>1</v>
      </c>
      <c r="N94" s="57" t="s">
        <v>94</v>
      </c>
      <c r="O94" s="51" t="s">
        <v>95</v>
      </c>
      <c r="P94" s="54"/>
      <c r="Q94" s="54" t="s">
        <v>96</v>
      </c>
      <c r="R94" s="58" t="s">
        <v>97</v>
      </c>
      <c r="S94" s="54" t="s">
        <v>98</v>
      </c>
    </row>
    <row r="95" customFormat="false" ht="35.05" hidden="false" customHeight="false" outlineLevel="0" collapsed="false">
      <c r="A95" s="51" t="s">
        <v>929</v>
      </c>
      <c r="B95" s="51" t="n">
        <v>91</v>
      </c>
      <c r="C95" s="52" t="s">
        <v>930</v>
      </c>
      <c r="D95" s="53" t="s">
        <v>931</v>
      </c>
      <c r="E95" s="54" t="s">
        <v>932</v>
      </c>
      <c r="F95" s="54" t="s">
        <v>391</v>
      </c>
      <c r="G95" s="54" t="s">
        <v>933</v>
      </c>
      <c r="H95" s="54" t="s">
        <v>934</v>
      </c>
      <c r="I95" s="53" t="s">
        <v>935</v>
      </c>
      <c r="J95" s="54" t="s">
        <v>936</v>
      </c>
      <c r="K95" s="53" t="s">
        <v>937</v>
      </c>
      <c r="L95" s="61" t="s">
        <v>10</v>
      </c>
      <c r="M95" s="56" t="n">
        <v>1</v>
      </c>
      <c r="N95" s="57" t="s">
        <v>94</v>
      </c>
      <c r="O95" s="51" t="s">
        <v>95</v>
      </c>
      <c r="P95" s="54"/>
      <c r="Q95" s="54" t="s">
        <v>96</v>
      </c>
      <c r="R95" s="58" t="s">
        <v>97</v>
      </c>
      <c r="S95" s="54" t="s">
        <v>98</v>
      </c>
    </row>
    <row r="96" customFormat="false" ht="35.05" hidden="false" customHeight="false" outlineLevel="0" collapsed="false">
      <c r="A96" s="51" t="s">
        <v>938</v>
      </c>
      <c r="B96" s="51" t="n">
        <v>92</v>
      </c>
      <c r="C96" s="52" t="s">
        <v>860</v>
      </c>
      <c r="D96" s="53" t="s">
        <v>939</v>
      </c>
      <c r="E96" s="54" t="s">
        <v>940</v>
      </c>
      <c r="F96" s="54" t="s">
        <v>941</v>
      </c>
      <c r="G96" s="54" t="s">
        <v>942</v>
      </c>
      <c r="H96" s="54" t="s">
        <v>943</v>
      </c>
      <c r="I96" s="53" t="s">
        <v>944</v>
      </c>
      <c r="J96" s="54" t="s">
        <v>945</v>
      </c>
      <c r="K96" s="53" t="s">
        <v>946</v>
      </c>
      <c r="L96" s="61" t="s">
        <v>10</v>
      </c>
      <c r="M96" s="56" t="n">
        <v>1</v>
      </c>
      <c r="N96" s="57" t="s">
        <v>94</v>
      </c>
      <c r="O96" s="51" t="s">
        <v>95</v>
      </c>
      <c r="P96" s="54"/>
      <c r="Q96" s="54" t="s">
        <v>131</v>
      </c>
      <c r="R96" s="58" t="s">
        <v>132</v>
      </c>
      <c r="S96" s="54" t="s">
        <v>98</v>
      </c>
    </row>
    <row r="97" customFormat="false" ht="35.05" hidden="false" customHeight="false" outlineLevel="0" collapsed="false">
      <c r="A97" s="51" t="s">
        <v>947</v>
      </c>
      <c r="B97" s="51" t="n">
        <v>93</v>
      </c>
      <c r="C97" s="52" t="s">
        <v>948</v>
      </c>
      <c r="D97" s="53" t="s">
        <v>949</v>
      </c>
      <c r="E97" s="54" t="s">
        <v>950</v>
      </c>
      <c r="F97" s="54" t="s">
        <v>115</v>
      </c>
      <c r="G97" s="54" t="s">
        <v>951</v>
      </c>
      <c r="H97" s="54" t="s">
        <v>952</v>
      </c>
      <c r="I97" s="53" t="s">
        <v>953</v>
      </c>
      <c r="J97" s="54" t="s">
        <v>954</v>
      </c>
      <c r="K97" s="53" t="s">
        <v>955</v>
      </c>
      <c r="L97" s="61" t="s">
        <v>10</v>
      </c>
      <c r="M97" s="56" t="n">
        <v>1</v>
      </c>
      <c r="N97" s="57" t="s">
        <v>94</v>
      </c>
      <c r="O97" s="51" t="s">
        <v>95</v>
      </c>
      <c r="P97" s="54"/>
      <c r="Q97" s="54" t="s">
        <v>131</v>
      </c>
      <c r="R97" s="58" t="s">
        <v>132</v>
      </c>
      <c r="S97" s="54" t="s">
        <v>98</v>
      </c>
    </row>
    <row r="98" customFormat="false" ht="35.05" hidden="false" customHeight="false" outlineLevel="0" collapsed="false">
      <c r="A98" s="51" t="s">
        <v>956</v>
      </c>
      <c r="B98" s="51" t="n">
        <v>94</v>
      </c>
      <c r="C98" s="52" t="s">
        <v>957</v>
      </c>
      <c r="D98" s="53" t="s">
        <v>958</v>
      </c>
      <c r="E98" s="54" t="s">
        <v>959</v>
      </c>
      <c r="F98" s="54" t="s">
        <v>391</v>
      </c>
      <c r="G98" s="54" t="s">
        <v>960</v>
      </c>
      <c r="H98" s="54" t="s">
        <v>961</v>
      </c>
      <c r="I98" s="53" t="s">
        <v>962</v>
      </c>
      <c r="J98" s="54" t="s">
        <v>963</v>
      </c>
      <c r="K98" s="53" t="s">
        <v>964</v>
      </c>
      <c r="L98" s="61" t="s">
        <v>10</v>
      </c>
      <c r="M98" s="56" t="n">
        <v>1</v>
      </c>
      <c r="N98" s="57" t="s">
        <v>94</v>
      </c>
      <c r="O98" s="51" t="s">
        <v>95</v>
      </c>
      <c r="P98" s="54"/>
      <c r="Q98" s="54" t="s">
        <v>96</v>
      </c>
      <c r="R98" s="58" t="s">
        <v>97</v>
      </c>
      <c r="S98" s="54" t="s">
        <v>98</v>
      </c>
    </row>
    <row r="99" customFormat="false" ht="35.05" hidden="false" customHeight="false" outlineLevel="0" collapsed="false">
      <c r="A99" s="51" t="s">
        <v>965</v>
      </c>
      <c r="B99" s="51" t="n">
        <v>95</v>
      </c>
      <c r="C99" s="52" t="s">
        <v>966</v>
      </c>
      <c r="D99" s="53" t="s">
        <v>967</v>
      </c>
      <c r="E99" s="54" t="s">
        <v>968</v>
      </c>
      <c r="F99" s="54" t="s">
        <v>860</v>
      </c>
      <c r="G99" s="54" t="s">
        <v>969</v>
      </c>
      <c r="H99" s="54" t="s">
        <v>970</v>
      </c>
      <c r="I99" s="53" t="s">
        <v>971</v>
      </c>
      <c r="J99" s="54" t="s">
        <v>972</v>
      </c>
      <c r="K99" s="53" t="s">
        <v>973</v>
      </c>
      <c r="L99" s="61" t="s">
        <v>10</v>
      </c>
      <c r="M99" s="56" t="n">
        <v>1</v>
      </c>
      <c r="N99" s="57" t="s">
        <v>94</v>
      </c>
      <c r="O99" s="51" t="s">
        <v>95</v>
      </c>
      <c r="P99" s="54"/>
      <c r="Q99" s="54" t="s">
        <v>131</v>
      </c>
      <c r="R99" s="58" t="s">
        <v>132</v>
      </c>
      <c r="S99" s="54" t="s">
        <v>98</v>
      </c>
    </row>
    <row r="100" customFormat="false" ht="35.05" hidden="false" customHeight="false" outlineLevel="0" collapsed="false">
      <c r="A100" s="51" t="s">
        <v>974</v>
      </c>
      <c r="B100" s="51" t="n">
        <v>96</v>
      </c>
      <c r="C100" s="52" t="s">
        <v>975</v>
      </c>
      <c r="D100" s="53" t="s">
        <v>976</v>
      </c>
      <c r="E100" s="54" t="s">
        <v>977</v>
      </c>
      <c r="F100" s="54" t="s">
        <v>860</v>
      </c>
      <c r="G100" s="54" t="s">
        <v>978</v>
      </c>
      <c r="H100" s="54" t="s">
        <v>979</v>
      </c>
      <c r="I100" s="53" t="s">
        <v>980</v>
      </c>
      <c r="J100" s="54" t="s">
        <v>981</v>
      </c>
      <c r="K100" s="53" t="s">
        <v>982</v>
      </c>
      <c r="L100" s="61" t="s">
        <v>10</v>
      </c>
      <c r="M100" s="56" t="n">
        <v>1</v>
      </c>
      <c r="N100" s="57" t="s">
        <v>94</v>
      </c>
      <c r="O100" s="51" t="s">
        <v>95</v>
      </c>
      <c r="P100" s="54"/>
      <c r="Q100" s="54" t="s">
        <v>131</v>
      </c>
      <c r="R100" s="58" t="s">
        <v>132</v>
      </c>
      <c r="S100" s="54" t="s">
        <v>98</v>
      </c>
    </row>
    <row r="101" customFormat="false" ht="35.05" hidden="false" customHeight="false" outlineLevel="0" collapsed="false">
      <c r="A101" s="51" t="s">
        <v>983</v>
      </c>
      <c r="B101" s="51" t="n">
        <v>97</v>
      </c>
      <c r="C101" s="52" t="s">
        <v>984</v>
      </c>
      <c r="D101" s="53" t="s">
        <v>985</v>
      </c>
      <c r="E101" s="54" t="s">
        <v>986</v>
      </c>
      <c r="F101" s="54" t="s">
        <v>860</v>
      </c>
      <c r="G101" s="54" t="s">
        <v>987</v>
      </c>
      <c r="H101" s="54" t="s">
        <v>988</v>
      </c>
      <c r="I101" s="53" t="s">
        <v>989</v>
      </c>
      <c r="J101" s="54" t="s">
        <v>990</v>
      </c>
      <c r="K101" s="53" t="s">
        <v>991</v>
      </c>
      <c r="L101" s="61" t="s">
        <v>10</v>
      </c>
      <c r="M101" s="56" t="n">
        <v>1</v>
      </c>
      <c r="N101" s="57" t="s">
        <v>94</v>
      </c>
      <c r="O101" s="51" t="s">
        <v>95</v>
      </c>
      <c r="P101" s="54"/>
      <c r="Q101" s="54" t="s">
        <v>131</v>
      </c>
      <c r="R101" s="58" t="s">
        <v>132</v>
      </c>
      <c r="S101" s="54" t="s">
        <v>98</v>
      </c>
    </row>
    <row r="102" customFormat="false" ht="35.05" hidden="false" customHeight="false" outlineLevel="0" collapsed="false">
      <c r="A102" s="51" t="s">
        <v>992</v>
      </c>
      <c r="B102" s="51" t="n">
        <v>98</v>
      </c>
      <c r="C102" s="52" t="s">
        <v>993</v>
      </c>
      <c r="D102" s="53" t="s">
        <v>994</v>
      </c>
      <c r="E102" s="54" t="s">
        <v>995</v>
      </c>
      <c r="F102" s="54" t="s">
        <v>391</v>
      </c>
      <c r="G102" s="54" t="s">
        <v>996</v>
      </c>
      <c r="H102" s="54" t="s">
        <v>997</v>
      </c>
      <c r="I102" s="53" t="s">
        <v>998</v>
      </c>
      <c r="J102" s="54" t="s">
        <v>999</v>
      </c>
      <c r="K102" s="53" t="s">
        <v>1000</v>
      </c>
      <c r="L102" s="61" t="s">
        <v>10</v>
      </c>
      <c r="M102" s="56" t="n">
        <v>1</v>
      </c>
      <c r="N102" s="57" t="s">
        <v>94</v>
      </c>
      <c r="O102" s="51" t="s">
        <v>95</v>
      </c>
      <c r="P102" s="54"/>
      <c r="Q102" s="54" t="s">
        <v>96</v>
      </c>
      <c r="R102" s="58" t="s">
        <v>97</v>
      </c>
      <c r="S102" s="54" t="s">
        <v>98</v>
      </c>
    </row>
    <row r="103" customFormat="false" ht="35.05" hidden="false" customHeight="false" outlineLevel="0" collapsed="false">
      <c r="A103" s="51" t="s">
        <v>1001</v>
      </c>
      <c r="B103" s="51" t="n">
        <v>99</v>
      </c>
      <c r="C103" s="52" t="s">
        <v>1002</v>
      </c>
      <c r="D103" s="53" t="s">
        <v>1003</v>
      </c>
      <c r="E103" s="54" t="s">
        <v>1004</v>
      </c>
      <c r="F103" s="54" t="s">
        <v>115</v>
      </c>
      <c r="G103" s="54" t="s">
        <v>1005</v>
      </c>
      <c r="H103" s="54" t="s">
        <v>1006</v>
      </c>
      <c r="I103" s="53" t="s">
        <v>1007</v>
      </c>
      <c r="J103" s="54" t="s">
        <v>1008</v>
      </c>
      <c r="K103" s="53" t="s">
        <v>1009</v>
      </c>
      <c r="L103" s="61" t="s">
        <v>10</v>
      </c>
      <c r="M103" s="56" t="n">
        <v>1</v>
      </c>
      <c r="N103" s="57" t="s">
        <v>94</v>
      </c>
      <c r="O103" s="51" t="s">
        <v>95</v>
      </c>
      <c r="P103" s="54"/>
      <c r="Q103" s="54" t="s">
        <v>131</v>
      </c>
      <c r="R103" s="58" t="s">
        <v>132</v>
      </c>
      <c r="S103" s="54" t="s">
        <v>98</v>
      </c>
    </row>
    <row r="104" customFormat="false" ht="35.05" hidden="false" customHeight="false" outlineLevel="0" collapsed="false">
      <c r="A104" s="51" t="s">
        <v>1010</v>
      </c>
      <c r="B104" s="51" t="n">
        <v>100</v>
      </c>
      <c r="C104" s="52" t="s">
        <v>1011</v>
      </c>
      <c r="D104" s="53" t="s">
        <v>1012</v>
      </c>
      <c r="E104" s="54" t="s">
        <v>1013</v>
      </c>
      <c r="F104" s="54" t="s">
        <v>137</v>
      </c>
      <c r="G104" s="54" t="s">
        <v>1014</v>
      </c>
      <c r="H104" s="54" t="s">
        <v>1015</v>
      </c>
      <c r="I104" s="53" t="s">
        <v>1016</v>
      </c>
      <c r="J104" s="54" t="s">
        <v>1017</v>
      </c>
      <c r="K104" s="53" t="s">
        <v>1018</v>
      </c>
      <c r="L104" s="61" t="s">
        <v>10</v>
      </c>
      <c r="M104" s="56" t="n">
        <v>1</v>
      </c>
      <c r="N104" s="57" t="s">
        <v>94</v>
      </c>
      <c r="O104" s="51" t="s">
        <v>95</v>
      </c>
      <c r="P104" s="54"/>
      <c r="Q104" s="54" t="s">
        <v>131</v>
      </c>
      <c r="R104" s="58" t="s">
        <v>132</v>
      </c>
      <c r="S104" s="54" t="s">
        <v>98</v>
      </c>
    </row>
    <row r="105" customFormat="false" ht="46.25" hidden="false" customHeight="false" outlineLevel="0" collapsed="false">
      <c r="A105" s="51" t="s">
        <v>1019</v>
      </c>
      <c r="B105" s="51" t="n">
        <v>101</v>
      </c>
      <c r="C105" s="52" t="s">
        <v>1020</v>
      </c>
      <c r="D105" s="53" t="s">
        <v>1021</v>
      </c>
      <c r="E105" s="54" t="s">
        <v>1022</v>
      </c>
      <c r="F105" s="54" t="s">
        <v>1023</v>
      </c>
      <c r="G105" s="54" t="s">
        <v>1024</v>
      </c>
      <c r="H105" s="54" t="s">
        <v>1025</v>
      </c>
      <c r="I105" s="53" t="s">
        <v>1026</v>
      </c>
      <c r="J105" s="54" t="s">
        <v>1027</v>
      </c>
      <c r="K105" s="53" t="s">
        <v>1028</v>
      </c>
      <c r="L105" s="55" t="s">
        <v>8</v>
      </c>
      <c r="M105" s="62" t="n">
        <v>2</v>
      </c>
      <c r="N105" s="63" t="s">
        <v>1029</v>
      </c>
      <c r="O105" s="59" t="s">
        <v>161</v>
      </c>
      <c r="P105" s="54" t="s">
        <v>1030</v>
      </c>
      <c r="Q105" s="54" t="s">
        <v>109</v>
      </c>
      <c r="R105" s="58" t="s">
        <v>110</v>
      </c>
      <c r="S105" s="54" t="s">
        <v>98</v>
      </c>
    </row>
    <row r="106" customFormat="false" ht="68.65" hidden="false" customHeight="false" outlineLevel="0" collapsed="false">
      <c r="A106" s="51" t="s">
        <v>1031</v>
      </c>
      <c r="B106" s="51" t="n">
        <v>102</v>
      </c>
      <c r="C106" s="52" t="s">
        <v>1032</v>
      </c>
      <c r="D106" s="53" t="s">
        <v>1033</v>
      </c>
      <c r="E106" s="54" t="s">
        <v>1034</v>
      </c>
      <c r="F106" s="54" t="s">
        <v>823</v>
      </c>
      <c r="G106" s="54" t="s">
        <v>1035</v>
      </c>
      <c r="H106" s="54" t="s">
        <v>1036</v>
      </c>
      <c r="I106" s="53" t="s">
        <v>1037</v>
      </c>
      <c r="J106" s="54" t="s">
        <v>1038</v>
      </c>
      <c r="K106" s="53" t="s">
        <v>1039</v>
      </c>
      <c r="L106" s="55" t="s">
        <v>8</v>
      </c>
      <c r="M106" s="62" t="n">
        <v>2</v>
      </c>
      <c r="N106" s="63" t="s">
        <v>1029</v>
      </c>
      <c r="O106" s="59" t="s">
        <v>161</v>
      </c>
      <c r="P106" s="54" t="s">
        <v>1040</v>
      </c>
      <c r="Q106" s="54" t="s">
        <v>237</v>
      </c>
      <c r="R106" s="58" t="s">
        <v>238</v>
      </c>
      <c r="S106" s="54" t="s">
        <v>98</v>
      </c>
    </row>
    <row r="107" customFormat="false" ht="35.05" hidden="false" customHeight="false" outlineLevel="0" collapsed="false">
      <c r="A107" s="51" t="s">
        <v>1041</v>
      </c>
      <c r="B107" s="51" t="n">
        <v>103</v>
      </c>
      <c r="C107" s="52" t="s">
        <v>1042</v>
      </c>
      <c r="D107" s="53" t="s">
        <v>1043</v>
      </c>
      <c r="E107" s="54" t="s">
        <v>1044</v>
      </c>
      <c r="F107" s="54" t="s">
        <v>823</v>
      </c>
      <c r="G107" s="54" t="s">
        <v>1045</v>
      </c>
      <c r="H107" s="54" t="s">
        <v>1046</v>
      </c>
      <c r="I107" s="53" t="s">
        <v>1047</v>
      </c>
      <c r="J107" s="54" t="s">
        <v>1048</v>
      </c>
      <c r="K107" s="53" t="s">
        <v>1049</v>
      </c>
      <c r="L107" s="55" t="s">
        <v>8</v>
      </c>
      <c r="M107" s="62" t="n">
        <v>2</v>
      </c>
      <c r="N107" s="63" t="s">
        <v>1029</v>
      </c>
      <c r="O107" s="51" t="s">
        <v>95</v>
      </c>
      <c r="P107" s="54"/>
      <c r="Q107" s="54" t="s">
        <v>96</v>
      </c>
      <c r="R107" s="58" t="s">
        <v>97</v>
      </c>
      <c r="S107" s="54" t="s">
        <v>98</v>
      </c>
    </row>
    <row r="108" customFormat="false" ht="46.25" hidden="false" customHeight="false" outlineLevel="0" collapsed="false">
      <c r="A108" s="51" t="s">
        <v>1050</v>
      </c>
      <c r="B108" s="51" t="n">
        <v>104</v>
      </c>
      <c r="C108" s="52" t="s">
        <v>1051</v>
      </c>
      <c r="D108" s="53" t="s">
        <v>1052</v>
      </c>
      <c r="E108" s="54" t="s">
        <v>1053</v>
      </c>
      <c r="F108" s="54" t="s">
        <v>823</v>
      </c>
      <c r="G108" s="54" t="s">
        <v>1054</v>
      </c>
      <c r="H108" s="54" t="s">
        <v>1055</v>
      </c>
      <c r="I108" s="53" t="s">
        <v>1056</v>
      </c>
      <c r="J108" s="54" t="s">
        <v>1057</v>
      </c>
      <c r="K108" s="53" t="s">
        <v>1058</v>
      </c>
      <c r="L108" s="55" t="s">
        <v>8</v>
      </c>
      <c r="M108" s="62" t="n">
        <v>2</v>
      </c>
      <c r="N108" s="63" t="s">
        <v>1029</v>
      </c>
      <c r="O108" s="59" t="s">
        <v>161</v>
      </c>
      <c r="P108" s="54" t="s">
        <v>1059</v>
      </c>
      <c r="Q108" s="54" t="s">
        <v>109</v>
      </c>
      <c r="R108" s="58" t="s">
        <v>110</v>
      </c>
      <c r="S108" s="54" t="s">
        <v>98</v>
      </c>
    </row>
    <row r="109" customFormat="false" ht="46.25" hidden="false" customHeight="false" outlineLevel="0" collapsed="false">
      <c r="A109" s="51" t="s">
        <v>1060</v>
      </c>
      <c r="B109" s="51" t="n">
        <v>105</v>
      </c>
      <c r="C109" s="52" t="s">
        <v>1061</v>
      </c>
      <c r="D109" s="53" t="s">
        <v>1062</v>
      </c>
      <c r="E109" s="54" t="s">
        <v>1063</v>
      </c>
      <c r="F109" s="54" t="s">
        <v>823</v>
      </c>
      <c r="G109" s="54" t="s">
        <v>1064</v>
      </c>
      <c r="H109" s="54" t="s">
        <v>1065</v>
      </c>
      <c r="I109" s="53" t="s">
        <v>1066</v>
      </c>
      <c r="J109" s="54" t="s">
        <v>1067</v>
      </c>
      <c r="K109" s="53" t="s">
        <v>1068</v>
      </c>
      <c r="L109" s="55" t="s">
        <v>8</v>
      </c>
      <c r="M109" s="62" t="n">
        <v>2</v>
      </c>
      <c r="N109" s="63" t="s">
        <v>1029</v>
      </c>
      <c r="O109" s="51" t="s">
        <v>95</v>
      </c>
      <c r="P109" s="54"/>
      <c r="Q109" s="54" t="s">
        <v>109</v>
      </c>
      <c r="R109" s="58" t="s">
        <v>110</v>
      </c>
      <c r="S109" s="54" t="s">
        <v>98</v>
      </c>
    </row>
    <row r="110" customFormat="false" ht="46.25" hidden="false" customHeight="false" outlineLevel="0" collapsed="false">
      <c r="A110" s="51" t="s">
        <v>1069</v>
      </c>
      <c r="B110" s="51" t="n">
        <v>106</v>
      </c>
      <c r="C110" s="52" t="s">
        <v>1070</v>
      </c>
      <c r="D110" s="53" t="s">
        <v>1071</v>
      </c>
      <c r="E110" s="54" t="s">
        <v>1072</v>
      </c>
      <c r="F110" s="54" t="s">
        <v>823</v>
      </c>
      <c r="G110" s="54" t="s">
        <v>1073</v>
      </c>
      <c r="H110" s="54" t="s">
        <v>1074</v>
      </c>
      <c r="I110" s="53" t="s">
        <v>1075</v>
      </c>
      <c r="J110" s="54" t="s">
        <v>1076</v>
      </c>
      <c r="K110" s="53" t="s">
        <v>1077</v>
      </c>
      <c r="L110" s="55" t="s">
        <v>8</v>
      </c>
      <c r="M110" s="62" t="n">
        <v>2</v>
      </c>
      <c r="N110" s="63" t="s">
        <v>1029</v>
      </c>
      <c r="O110" s="59" t="s">
        <v>161</v>
      </c>
      <c r="P110" s="54" t="s">
        <v>1040</v>
      </c>
      <c r="Q110" s="54" t="s">
        <v>109</v>
      </c>
      <c r="R110" s="58" t="s">
        <v>110</v>
      </c>
      <c r="S110" s="54" t="s">
        <v>98</v>
      </c>
    </row>
    <row r="111" customFormat="false" ht="35.05" hidden="false" customHeight="false" outlineLevel="0" collapsed="false">
      <c r="A111" s="51" t="s">
        <v>1078</v>
      </c>
      <c r="B111" s="51" t="n">
        <v>107</v>
      </c>
      <c r="C111" s="52" t="s">
        <v>1079</v>
      </c>
      <c r="D111" s="53" t="s">
        <v>1080</v>
      </c>
      <c r="E111" s="54" t="s">
        <v>1081</v>
      </c>
      <c r="F111" s="54" t="s">
        <v>823</v>
      </c>
      <c r="G111" s="54" t="s">
        <v>1082</v>
      </c>
      <c r="H111" s="54" t="s">
        <v>1083</v>
      </c>
      <c r="I111" s="53" t="s">
        <v>1084</v>
      </c>
      <c r="J111" s="54" t="s">
        <v>1085</v>
      </c>
      <c r="K111" s="53" t="s">
        <v>1086</v>
      </c>
      <c r="L111" s="55" t="s">
        <v>8</v>
      </c>
      <c r="M111" s="62" t="n">
        <v>2</v>
      </c>
      <c r="N111" s="63" t="s">
        <v>1029</v>
      </c>
      <c r="O111" s="51" t="s">
        <v>95</v>
      </c>
      <c r="P111" s="54"/>
      <c r="Q111" s="54" t="s">
        <v>131</v>
      </c>
      <c r="R111" s="58" t="s">
        <v>132</v>
      </c>
      <c r="S111" s="54" t="s">
        <v>98</v>
      </c>
    </row>
    <row r="112" customFormat="false" ht="35.05" hidden="false" customHeight="false" outlineLevel="0" collapsed="false">
      <c r="A112" s="51" t="s">
        <v>1087</v>
      </c>
      <c r="B112" s="51" t="n">
        <v>108</v>
      </c>
      <c r="C112" s="52" t="s">
        <v>1088</v>
      </c>
      <c r="D112" s="53" t="s">
        <v>1089</v>
      </c>
      <c r="E112" s="54" t="s">
        <v>1090</v>
      </c>
      <c r="F112" s="54" t="s">
        <v>823</v>
      </c>
      <c r="G112" s="54" t="s">
        <v>1091</v>
      </c>
      <c r="H112" s="54" t="s">
        <v>1092</v>
      </c>
      <c r="I112" s="53" t="s">
        <v>1093</v>
      </c>
      <c r="J112" s="54" t="s">
        <v>1094</v>
      </c>
      <c r="K112" s="53" t="s">
        <v>1095</v>
      </c>
      <c r="L112" s="55" t="s">
        <v>8</v>
      </c>
      <c r="M112" s="62" t="n">
        <v>2</v>
      </c>
      <c r="N112" s="63" t="s">
        <v>1029</v>
      </c>
      <c r="O112" s="51" t="s">
        <v>95</v>
      </c>
      <c r="P112" s="54"/>
      <c r="Q112" s="54" t="s">
        <v>96</v>
      </c>
      <c r="R112" s="58" t="s">
        <v>97</v>
      </c>
      <c r="S112" s="54" t="s">
        <v>98</v>
      </c>
    </row>
    <row r="113" customFormat="false" ht="46.25" hidden="false" customHeight="false" outlineLevel="0" collapsed="false">
      <c r="A113" s="51" t="s">
        <v>1096</v>
      </c>
      <c r="B113" s="51" t="n">
        <v>109</v>
      </c>
      <c r="C113" s="52" t="s">
        <v>1097</v>
      </c>
      <c r="D113" s="53" t="s">
        <v>1098</v>
      </c>
      <c r="E113" s="54" t="s">
        <v>1099</v>
      </c>
      <c r="F113" s="54" t="s">
        <v>823</v>
      </c>
      <c r="G113" s="54" t="s">
        <v>1100</v>
      </c>
      <c r="H113" s="54" t="s">
        <v>1101</v>
      </c>
      <c r="I113" s="53" t="s">
        <v>1102</v>
      </c>
      <c r="J113" s="54" t="s">
        <v>1103</v>
      </c>
      <c r="K113" s="53" t="s">
        <v>1104</v>
      </c>
      <c r="L113" s="55" t="s">
        <v>8</v>
      </c>
      <c r="M113" s="62" t="n">
        <v>2</v>
      </c>
      <c r="N113" s="63" t="s">
        <v>1029</v>
      </c>
      <c r="O113" s="59" t="s">
        <v>161</v>
      </c>
      <c r="P113" s="54" t="s">
        <v>1105</v>
      </c>
      <c r="Q113" s="54" t="s">
        <v>441</v>
      </c>
      <c r="R113" s="58" t="s">
        <v>442</v>
      </c>
      <c r="S113" s="54" t="s">
        <v>98</v>
      </c>
    </row>
    <row r="114" customFormat="false" ht="35.05" hidden="false" customHeight="false" outlineLevel="0" collapsed="false">
      <c r="A114" s="51" t="s">
        <v>1106</v>
      </c>
      <c r="B114" s="51" t="n">
        <v>110</v>
      </c>
      <c r="C114" s="52" t="s">
        <v>1107</v>
      </c>
      <c r="D114" s="53" t="s">
        <v>1108</v>
      </c>
      <c r="E114" s="54" t="s">
        <v>1109</v>
      </c>
      <c r="F114" s="54" t="s">
        <v>823</v>
      </c>
      <c r="G114" s="54" t="s">
        <v>1110</v>
      </c>
      <c r="H114" s="54" t="s">
        <v>1111</v>
      </c>
      <c r="I114" s="53" t="s">
        <v>1112</v>
      </c>
      <c r="J114" s="54" t="s">
        <v>1113</v>
      </c>
      <c r="K114" s="53" t="s">
        <v>1114</v>
      </c>
      <c r="L114" s="55" t="s">
        <v>8</v>
      </c>
      <c r="M114" s="62" t="n">
        <v>2</v>
      </c>
      <c r="N114" s="63" t="s">
        <v>1029</v>
      </c>
      <c r="O114" s="59" t="s">
        <v>161</v>
      </c>
      <c r="P114" s="54" t="s">
        <v>1115</v>
      </c>
      <c r="Q114" s="54" t="s">
        <v>516</v>
      </c>
      <c r="R114" s="58" t="s">
        <v>517</v>
      </c>
      <c r="S114" s="54" t="s">
        <v>98</v>
      </c>
    </row>
    <row r="115" customFormat="false" ht="35.05" hidden="false" customHeight="false" outlineLevel="0" collapsed="false">
      <c r="A115" s="51" t="s">
        <v>1116</v>
      </c>
      <c r="B115" s="51" t="n">
        <v>111</v>
      </c>
      <c r="C115" s="52" t="s">
        <v>1117</v>
      </c>
      <c r="D115" s="53" t="s">
        <v>1118</v>
      </c>
      <c r="E115" s="54" t="s">
        <v>1119</v>
      </c>
      <c r="F115" s="54" t="s">
        <v>1120</v>
      </c>
      <c r="G115" s="54" t="s">
        <v>1121</v>
      </c>
      <c r="H115" s="54" t="s">
        <v>1122</v>
      </c>
      <c r="I115" s="53" t="s">
        <v>1123</v>
      </c>
      <c r="J115" s="54" t="s">
        <v>1124</v>
      </c>
      <c r="K115" s="53" t="s">
        <v>1125</v>
      </c>
      <c r="L115" s="55" t="s">
        <v>8</v>
      </c>
      <c r="M115" s="62" t="n">
        <v>2</v>
      </c>
      <c r="N115" s="63" t="s">
        <v>1029</v>
      </c>
      <c r="O115" s="51" t="s">
        <v>95</v>
      </c>
      <c r="P115" s="54"/>
      <c r="Q115" s="54" t="s">
        <v>131</v>
      </c>
      <c r="R115" s="58" t="s">
        <v>132</v>
      </c>
      <c r="S115" s="54" t="s">
        <v>98</v>
      </c>
    </row>
    <row r="116" customFormat="false" ht="46.25" hidden="false" customHeight="false" outlineLevel="0" collapsed="false">
      <c r="A116" s="51" t="s">
        <v>1126</v>
      </c>
      <c r="B116" s="51" t="n">
        <v>112</v>
      </c>
      <c r="C116" s="52" t="s">
        <v>1127</v>
      </c>
      <c r="D116" s="53" t="s">
        <v>1128</v>
      </c>
      <c r="E116" s="54" t="s">
        <v>1129</v>
      </c>
      <c r="F116" s="54" t="s">
        <v>823</v>
      </c>
      <c r="G116" s="54" t="s">
        <v>1130</v>
      </c>
      <c r="H116" s="54" t="s">
        <v>1131</v>
      </c>
      <c r="I116" s="53" t="s">
        <v>1132</v>
      </c>
      <c r="J116" s="54" t="s">
        <v>1133</v>
      </c>
      <c r="K116" s="53" t="s">
        <v>1134</v>
      </c>
      <c r="L116" s="55" t="s">
        <v>8</v>
      </c>
      <c r="M116" s="62" t="n">
        <v>2</v>
      </c>
      <c r="N116" s="63" t="s">
        <v>1029</v>
      </c>
      <c r="O116" s="59" t="s">
        <v>161</v>
      </c>
      <c r="P116" s="54" t="s">
        <v>1105</v>
      </c>
      <c r="Q116" s="54" t="s">
        <v>441</v>
      </c>
      <c r="R116" s="58" t="s">
        <v>442</v>
      </c>
      <c r="S116" s="54" t="s">
        <v>98</v>
      </c>
    </row>
    <row r="117" customFormat="false" ht="35.05" hidden="false" customHeight="false" outlineLevel="0" collapsed="false">
      <c r="A117" s="51" t="s">
        <v>1135</v>
      </c>
      <c r="B117" s="51" t="n">
        <v>113</v>
      </c>
      <c r="C117" s="52" t="s">
        <v>1136</v>
      </c>
      <c r="D117" s="53" t="s">
        <v>1137</v>
      </c>
      <c r="E117" s="54" t="s">
        <v>1138</v>
      </c>
      <c r="F117" s="54" t="s">
        <v>1023</v>
      </c>
      <c r="G117" s="54" t="s">
        <v>1139</v>
      </c>
      <c r="H117" s="54" t="s">
        <v>1140</v>
      </c>
      <c r="I117" s="53" t="s">
        <v>1141</v>
      </c>
      <c r="J117" s="54" t="s">
        <v>1142</v>
      </c>
      <c r="K117" s="53" t="s">
        <v>1143</v>
      </c>
      <c r="L117" s="55" t="s">
        <v>8</v>
      </c>
      <c r="M117" s="62" t="n">
        <v>2</v>
      </c>
      <c r="N117" s="63" t="s">
        <v>1029</v>
      </c>
      <c r="O117" s="59" t="s">
        <v>161</v>
      </c>
      <c r="P117" s="54" t="s">
        <v>1030</v>
      </c>
      <c r="Q117" s="54" t="s">
        <v>96</v>
      </c>
      <c r="R117" s="58" t="s">
        <v>97</v>
      </c>
      <c r="S117" s="54" t="s">
        <v>98</v>
      </c>
    </row>
    <row r="118" customFormat="false" ht="35.05" hidden="false" customHeight="false" outlineLevel="0" collapsed="false">
      <c r="A118" s="51" t="s">
        <v>1144</v>
      </c>
      <c r="B118" s="51" t="n">
        <v>114</v>
      </c>
      <c r="C118" s="52" t="s">
        <v>1145</v>
      </c>
      <c r="D118" s="53" t="s">
        <v>1146</v>
      </c>
      <c r="E118" s="54" t="s">
        <v>1147</v>
      </c>
      <c r="F118" s="54" t="s">
        <v>823</v>
      </c>
      <c r="G118" s="54" t="s">
        <v>1148</v>
      </c>
      <c r="H118" s="54" t="s">
        <v>1149</v>
      </c>
      <c r="I118" s="53" t="s">
        <v>1150</v>
      </c>
      <c r="J118" s="54" t="s">
        <v>1151</v>
      </c>
      <c r="K118" s="53" t="s">
        <v>1152</v>
      </c>
      <c r="L118" s="55" t="s">
        <v>8</v>
      </c>
      <c r="M118" s="62" t="n">
        <v>2</v>
      </c>
      <c r="N118" s="63" t="s">
        <v>1029</v>
      </c>
      <c r="O118" s="51" t="s">
        <v>95</v>
      </c>
      <c r="P118" s="54"/>
      <c r="Q118" s="54" t="s">
        <v>96</v>
      </c>
      <c r="R118" s="58" t="s">
        <v>97</v>
      </c>
      <c r="S118" s="54" t="s">
        <v>98</v>
      </c>
    </row>
    <row r="119" customFormat="false" ht="35.05" hidden="false" customHeight="false" outlineLevel="0" collapsed="false">
      <c r="A119" s="51" t="s">
        <v>1153</v>
      </c>
      <c r="B119" s="51" t="n">
        <v>115</v>
      </c>
      <c r="C119" s="52" t="s">
        <v>1154</v>
      </c>
      <c r="D119" s="53" t="s">
        <v>1155</v>
      </c>
      <c r="E119" s="54" t="s">
        <v>1156</v>
      </c>
      <c r="F119" s="54" t="s">
        <v>1157</v>
      </c>
      <c r="G119" s="54" t="s">
        <v>1158</v>
      </c>
      <c r="H119" s="54" t="s">
        <v>1159</v>
      </c>
      <c r="I119" s="53" t="s">
        <v>1160</v>
      </c>
      <c r="J119" s="54" t="s">
        <v>1161</v>
      </c>
      <c r="K119" s="53" t="s">
        <v>1162</v>
      </c>
      <c r="L119" s="55" t="s">
        <v>8</v>
      </c>
      <c r="M119" s="62" t="n">
        <v>2</v>
      </c>
      <c r="N119" s="63" t="s">
        <v>1029</v>
      </c>
      <c r="O119" s="51" t="s">
        <v>95</v>
      </c>
      <c r="P119" s="54"/>
      <c r="Q119" s="54" t="s">
        <v>131</v>
      </c>
      <c r="R119" s="58" t="s">
        <v>132</v>
      </c>
      <c r="S119" s="54" t="s">
        <v>98</v>
      </c>
    </row>
    <row r="120" customFormat="false" ht="35.05" hidden="false" customHeight="false" outlineLevel="0" collapsed="false">
      <c r="A120" s="51" t="s">
        <v>1163</v>
      </c>
      <c r="B120" s="51" t="n">
        <v>116</v>
      </c>
      <c r="C120" s="52" t="s">
        <v>1164</v>
      </c>
      <c r="D120" s="53" t="s">
        <v>1165</v>
      </c>
      <c r="E120" s="54" t="s">
        <v>1166</v>
      </c>
      <c r="F120" s="54" t="s">
        <v>88</v>
      </c>
      <c r="G120" s="54" t="s">
        <v>1167</v>
      </c>
      <c r="H120" s="54" t="s">
        <v>1168</v>
      </c>
      <c r="I120" s="53" t="s">
        <v>1169</v>
      </c>
      <c r="J120" s="54" t="s">
        <v>1170</v>
      </c>
      <c r="K120" s="53" t="s">
        <v>1171</v>
      </c>
      <c r="L120" s="55" t="s">
        <v>8</v>
      </c>
      <c r="M120" s="62" t="n">
        <v>2</v>
      </c>
      <c r="N120" s="63" t="s">
        <v>1029</v>
      </c>
      <c r="O120" s="51" t="s">
        <v>95</v>
      </c>
      <c r="P120" s="54"/>
      <c r="Q120" s="54" t="s">
        <v>131</v>
      </c>
      <c r="R120" s="58" t="s">
        <v>132</v>
      </c>
      <c r="S120" s="54" t="s">
        <v>98</v>
      </c>
    </row>
    <row r="121" customFormat="false" ht="35.05" hidden="false" customHeight="false" outlineLevel="0" collapsed="false">
      <c r="A121" s="51" t="s">
        <v>1172</v>
      </c>
      <c r="B121" s="51" t="n">
        <v>117</v>
      </c>
      <c r="C121" s="52" t="s">
        <v>1173</v>
      </c>
      <c r="D121" s="53" t="s">
        <v>1174</v>
      </c>
      <c r="E121" s="54" t="s">
        <v>1175</v>
      </c>
      <c r="F121" s="54" t="s">
        <v>88</v>
      </c>
      <c r="G121" s="54" t="s">
        <v>1176</v>
      </c>
      <c r="H121" s="54" t="s">
        <v>1177</v>
      </c>
      <c r="I121" s="53" t="s">
        <v>1178</v>
      </c>
      <c r="J121" s="54" t="s">
        <v>1179</v>
      </c>
      <c r="K121" s="53" t="s">
        <v>1180</v>
      </c>
      <c r="L121" s="60" t="s">
        <v>9</v>
      </c>
      <c r="M121" s="62" t="n">
        <v>2</v>
      </c>
      <c r="N121" s="63" t="s">
        <v>1029</v>
      </c>
      <c r="O121" s="51" t="s">
        <v>95</v>
      </c>
      <c r="P121" s="54"/>
      <c r="Q121" s="54" t="s">
        <v>131</v>
      </c>
      <c r="R121" s="58" t="s">
        <v>132</v>
      </c>
      <c r="S121" s="54" t="s">
        <v>98</v>
      </c>
    </row>
    <row r="122" customFormat="false" ht="35.05" hidden="false" customHeight="false" outlineLevel="0" collapsed="false">
      <c r="A122" s="51" t="s">
        <v>1181</v>
      </c>
      <c r="B122" s="51" t="n">
        <v>118</v>
      </c>
      <c r="C122" s="52" t="s">
        <v>1182</v>
      </c>
      <c r="D122" s="53" t="s">
        <v>1183</v>
      </c>
      <c r="E122" s="54" t="s">
        <v>1184</v>
      </c>
      <c r="F122" s="54" t="s">
        <v>289</v>
      </c>
      <c r="G122" s="54" t="s">
        <v>1185</v>
      </c>
      <c r="H122" s="54" t="s">
        <v>1186</v>
      </c>
      <c r="I122" s="53" t="s">
        <v>1187</v>
      </c>
      <c r="J122" s="54" t="s">
        <v>1188</v>
      </c>
      <c r="K122" s="53" t="s">
        <v>1189</v>
      </c>
      <c r="L122" s="60" t="s">
        <v>9</v>
      </c>
      <c r="M122" s="62" t="n">
        <v>2</v>
      </c>
      <c r="N122" s="63" t="s">
        <v>1029</v>
      </c>
      <c r="O122" s="51" t="s">
        <v>95</v>
      </c>
      <c r="P122" s="54"/>
      <c r="Q122" s="54" t="s">
        <v>131</v>
      </c>
      <c r="R122" s="58" t="s">
        <v>132</v>
      </c>
      <c r="S122" s="54" t="s">
        <v>98</v>
      </c>
    </row>
    <row r="123" customFormat="false" ht="35.05" hidden="false" customHeight="false" outlineLevel="0" collapsed="false">
      <c r="A123" s="51" t="s">
        <v>1190</v>
      </c>
      <c r="B123" s="51" t="n">
        <v>119</v>
      </c>
      <c r="C123" s="52" t="s">
        <v>1191</v>
      </c>
      <c r="D123" s="53" t="s">
        <v>1192</v>
      </c>
      <c r="E123" s="54" t="s">
        <v>1193</v>
      </c>
      <c r="F123" s="54" t="s">
        <v>1120</v>
      </c>
      <c r="G123" s="54" t="s">
        <v>1194</v>
      </c>
      <c r="H123" s="54" t="s">
        <v>1195</v>
      </c>
      <c r="I123" s="53" t="s">
        <v>1196</v>
      </c>
      <c r="J123" s="54" t="s">
        <v>1197</v>
      </c>
      <c r="K123" s="53" t="s">
        <v>1198</v>
      </c>
      <c r="L123" s="60" t="s">
        <v>9</v>
      </c>
      <c r="M123" s="62" t="n">
        <v>2</v>
      </c>
      <c r="N123" s="63" t="s">
        <v>1029</v>
      </c>
      <c r="O123" s="51" t="s">
        <v>95</v>
      </c>
      <c r="P123" s="54"/>
      <c r="Q123" s="54" t="s">
        <v>131</v>
      </c>
      <c r="R123" s="58" t="s">
        <v>132</v>
      </c>
      <c r="S123" s="54" t="s">
        <v>98</v>
      </c>
    </row>
    <row r="124" customFormat="false" ht="35.05" hidden="false" customHeight="false" outlineLevel="0" collapsed="false">
      <c r="A124" s="51" t="s">
        <v>1199</v>
      </c>
      <c r="B124" s="51" t="n">
        <v>120</v>
      </c>
      <c r="C124" s="52" t="s">
        <v>1200</v>
      </c>
      <c r="D124" s="53" t="s">
        <v>1201</v>
      </c>
      <c r="E124" s="54" t="s">
        <v>1202</v>
      </c>
      <c r="F124" s="54" t="s">
        <v>88</v>
      </c>
      <c r="G124" s="54" t="s">
        <v>1203</v>
      </c>
      <c r="H124" s="54" t="s">
        <v>1204</v>
      </c>
      <c r="I124" s="53" t="s">
        <v>1205</v>
      </c>
      <c r="J124" s="54" t="s">
        <v>1206</v>
      </c>
      <c r="K124" s="53" t="s">
        <v>1207</v>
      </c>
      <c r="L124" s="60" t="s">
        <v>9</v>
      </c>
      <c r="M124" s="62" t="n">
        <v>2</v>
      </c>
      <c r="N124" s="63" t="s">
        <v>1029</v>
      </c>
      <c r="O124" s="51" t="s">
        <v>95</v>
      </c>
      <c r="P124" s="54"/>
      <c r="Q124" s="54" t="s">
        <v>131</v>
      </c>
      <c r="R124" s="58" t="s">
        <v>132</v>
      </c>
      <c r="S124" s="54" t="s">
        <v>98</v>
      </c>
    </row>
    <row r="125" customFormat="false" ht="46.25" hidden="false" customHeight="false" outlineLevel="0" collapsed="false">
      <c r="A125" s="51" t="s">
        <v>1208</v>
      </c>
      <c r="B125" s="51" t="n">
        <v>121</v>
      </c>
      <c r="C125" s="52" t="s">
        <v>1209</v>
      </c>
      <c r="D125" s="53" t="s">
        <v>1210</v>
      </c>
      <c r="E125" s="54" t="s">
        <v>1211</v>
      </c>
      <c r="F125" s="54" t="s">
        <v>125</v>
      </c>
      <c r="G125" s="54" t="s">
        <v>1212</v>
      </c>
      <c r="H125" s="54" t="s">
        <v>1213</v>
      </c>
      <c r="I125" s="53" t="s">
        <v>1214</v>
      </c>
      <c r="J125" s="54" t="s">
        <v>1215</v>
      </c>
      <c r="K125" s="53" t="s">
        <v>1216</v>
      </c>
      <c r="L125" s="60" t="s">
        <v>9</v>
      </c>
      <c r="M125" s="62" t="n">
        <v>2</v>
      </c>
      <c r="N125" s="63" t="s">
        <v>1029</v>
      </c>
      <c r="O125" s="51" t="s">
        <v>95</v>
      </c>
      <c r="P125" s="54"/>
      <c r="Q125" s="54" t="s">
        <v>621</v>
      </c>
      <c r="R125" s="58" t="s">
        <v>622</v>
      </c>
      <c r="S125" s="54" t="s">
        <v>98</v>
      </c>
    </row>
    <row r="126" customFormat="false" ht="35.05" hidden="false" customHeight="false" outlineLevel="0" collapsed="false">
      <c r="A126" s="51" t="s">
        <v>1217</v>
      </c>
      <c r="B126" s="51" t="n">
        <v>122</v>
      </c>
      <c r="C126" s="52" t="s">
        <v>1218</v>
      </c>
      <c r="D126" s="53" t="s">
        <v>1219</v>
      </c>
      <c r="E126" s="54" t="s">
        <v>1220</v>
      </c>
      <c r="F126" s="54" t="s">
        <v>115</v>
      </c>
      <c r="G126" s="54" t="s">
        <v>1221</v>
      </c>
      <c r="H126" s="54" t="s">
        <v>1222</v>
      </c>
      <c r="I126" s="53" t="s">
        <v>1223</v>
      </c>
      <c r="J126" s="54" t="s">
        <v>1224</v>
      </c>
      <c r="K126" s="53" t="s">
        <v>1225</v>
      </c>
      <c r="L126" s="60" t="s">
        <v>9</v>
      </c>
      <c r="M126" s="62" t="n">
        <v>2</v>
      </c>
      <c r="N126" s="63" t="s">
        <v>1029</v>
      </c>
      <c r="O126" s="51" t="s">
        <v>95</v>
      </c>
      <c r="P126" s="54"/>
      <c r="Q126" s="54" t="s">
        <v>131</v>
      </c>
      <c r="R126" s="58" t="s">
        <v>132</v>
      </c>
      <c r="S126" s="54" t="s">
        <v>98</v>
      </c>
    </row>
    <row r="127" customFormat="false" ht="35.05" hidden="false" customHeight="false" outlineLevel="0" collapsed="false">
      <c r="A127" s="51" t="s">
        <v>1226</v>
      </c>
      <c r="B127" s="51" t="n">
        <v>123</v>
      </c>
      <c r="C127" s="52" t="s">
        <v>1227</v>
      </c>
      <c r="D127" s="53" t="s">
        <v>1228</v>
      </c>
      <c r="E127" s="54" t="s">
        <v>1229</v>
      </c>
      <c r="F127" s="54" t="s">
        <v>88</v>
      </c>
      <c r="G127" s="54" t="s">
        <v>1230</v>
      </c>
      <c r="H127" s="54" t="s">
        <v>1231</v>
      </c>
      <c r="I127" s="53" t="s">
        <v>1232</v>
      </c>
      <c r="J127" s="54" t="s">
        <v>1233</v>
      </c>
      <c r="K127" s="53" t="s">
        <v>1234</v>
      </c>
      <c r="L127" s="60" t="s">
        <v>9</v>
      </c>
      <c r="M127" s="62" t="n">
        <v>2</v>
      </c>
      <c r="N127" s="63" t="s">
        <v>1029</v>
      </c>
      <c r="O127" s="59" t="s">
        <v>161</v>
      </c>
      <c r="P127" s="54" t="s">
        <v>1235</v>
      </c>
      <c r="Q127" s="54" t="s">
        <v>131</v>
      </c>
      <c r="R127" s="58" t="s">
        <v>132</v>
      </c>
      <c r="S127" s="54" t="s">
        <v>98</v>
      </c>
    </row>
    <row r="128" customFormat="false" ht="35.05" hidden="false" customHeight="false" outlineLevel="0" collapsed="false">
      <c r="A128" s="51" t="s">
        <v>1236</v>
      </c>
      <c r="B128" s="51" t="n">
        <v>124</v>
      </c>
      <c r="C128" s="52" t="s">
        <v>1237</v>
      </c>
      <c r="D128" s="53" t="s">
        <v>1238</v>
      </c>
      <c r="E128" s="54" t="s">
        <v>1239</v>
      </c>
      <c r="F128" s="54" t="s">
        <v>1120</v>
      </c>
      <c r="G128" s="54" t="s">
        <v>1240</v>
      </c>
      <c r="H128" s="54" t="s">
        <v>1241</v>
      </c>
      <c r="I128" s="53" t="s">
        <v>1242</v>
      </c>
      <c r="J128" s="54" t="s">
        <v>1243</v>
      </c>
      <c r="K128" s="53" t="s">
        <v>1244</v>
      </c>
      <c r="L128" s="60" t="s">
        <v>9</v>
      </c>
      <c r="M128" s="62" t="n">
        <v>2</v>
      </c>
      <c r="N128" s="63" t="s">
        <v>1029</v>
      </c>
      <c r="O128" s="51" t="s">
        <v>95</v>
      </c>
      <c r="P128" s="54"/>
      <c r="Q128" s="54" t="s">
        <v>131</v>
      </c>
      <c r="R128" s="58" t="s">
        <v>132</v>
      </c>
      <c r="S128" s="54" t="s">
        <v>98</v>
      </c>
    </row>
    <row r="129" customFormat="false" ht="35.05" hidden="false" customHeight="false" outlineLevel="0" collapsed="false">
      <c r="A129" s="51" t="s">
        <v>1245</v>
      </c>
      <c r="B129" s="51" t="n">
        <v>125</v>
      </c>
      <c r="C129" s="52" t="s">
        <v>1246</v>
      </c>
      <c r="D129" s="53" t="s">
        <v>1247</v>
      </c>
      <c r="E129" s="54" t="s">
        <v>1248</v>
      </c>
      <c r="F129" s="54" t="s">
        <v>823</v>
      </c>
      <c r="G129" s="54" t="s">
        <v>1249</v>
      </c>
      <c r="H129" s="54" t="s">
        <v>1250</v>
      </c>
      <c r="I129" s="53" t="s">
        <v>1251</v>
      </c>
      <c r="J129" s="54" t="s">
        <v>1252</v>
      </c>
      <c r="K129" s="53" t="s">
        <v>1253</v>
      </c>
      <c r="L129" s="60" t="s">
        <v>9</v>
      </c>
      <c r="M129" s="62" t="n">
        <v>2</v>
      </c>
      <c r="N129" s="63" t="s">
        <v>1029</v>
      </c>
      <c r="O129" s="51" t="s">
        <v>95</v>
      </c>
      <c r="P129" s="54"/>
      <c r="Q129" s="54" t="s">
        <v>131</v>
      </c>
      <c r="R129" s="58" t="s">
        <v>132</v>
      </c>
      <c r="S129" s="54" t="s">
        <v>98</v>
      </c>
    </row>
    <row r="130" customFormat="false" ht="35.05" hidden="false" customHeight="false" outlineLevel="0" collapsed="false">
      <c r="A130" s="51" t="s">
        <v>1254</v>
      </c>
      <c r="B130" s="51" t="n">
        <v>126</v>
      </c>
      <c r="C130" s="52" t="s">
        <v>1255</v>
      </c>
      <c r="D130" s="53" t="s">
        <v>1256</v>
      </c>
      <c r="E130" s="54" t="s">
        <v>1257</v>
      </c>
      <c r="F130" s="54" t="s">
        <v>88</v>
      </c>
      <c r="G130" s="54" t="s">
        <v>1258</v>
      </c>
      <c r="H130" s="54" t="s">
        <v>1259</v>
      </c>
      <c r="I130" s="53" t="s">
        <v>1260</v>
      </c>
      <c r="J130" s="54" t="s">
        <v>1261</v>
      </c>
      <c r="K130" s="53" t="s">
        <v>1262</v>
      </c>
      <c r="L130" s="60" t="s">
        <v>9</v>
      </c>
      <c r="M130" s="62" t="n">
        <v>2</v>
      </c>
      <c r="N130" s="63" t="s">
        <v>1029</v>
      </c>
      <c r="O130" s="51" t="s">
        <v>95</v>
      </c>
      <c r="P130" s="54"/>
      <c r="Q130" s="54" t="s">
        <v>131</v>
      </c>
      <c r="R130" s="58" t="s">
        <v>132</v>
      </c>
      <c r="S130" s="54" t="s">
        <v>98</v>
      </c>
    </row>
    <row r="131" customFormat="false" ht="35.05" hidden="false" customHeight="false" outlineLevel="0" collapsed="false">
      <c r="A131" s="51" t="s">
        <v>1263</v>
      </c>
      <c r="B131" s="51" t="n">
        <v>127</v>
      </c>
      <c r="C131" s="52" t="s">
        <v>1264</v>
      </c>
      <c r="D131" s="53" t="s">
        <v>1265</v>
      </c>
      <c r="E131" s="54" t="s">
        <v>1266</v>
      </c>
      <c r="F131" s="54" t="s">
        <v>1157</v>
      </c>
      <c r="G131" s="54" t="s">
        <v>1267</v>
      </c>
      <c r="H131" s="54" t="s">
        <v>1268</v>
      </c>
      <c r="I131" s="53" t="s">
        <v>1269</v>
      </c>
      <c r="J131" s="54" t="s">
        <v>1270</v>
      </c>
      <c r="K131" s="53" t="s">
        <v>1271</v>
      </c>
      <c r="L131" s="60" t="s">
        <v>9</v>
      </c>
      <c r="M131" s="62" t="n">
        <v>2</v>
      </c>
      <c r="N131" s="63" t="s">
        <v>1029</v>
      </c>
      <c r="O131" s="51" t="s">
        <v>95</v>
      </c>
      <c r="P131" s="54"/>
      <c r="Q131" s="54" t="s">
        <v>96</v>
      </c>
      <c r="R131" s="58" t="s">
        <v>97</v>
      </c>
      <c r="S131" s="54" t="s">
        <v>98</v>
      </c>
    </row>
    <row r="132" customFormat="false" ht="35.05" hidden="false" customHeight="false" outlineLevel="0" collapsed="false">
      <c r="A132" s="51" t="s">
        <v>1272</v>
      </c>
      <c r="B132" s="51" t="n">
        <v>128</v>
      </c>
      <c r="C132" s="52" t="s">
        <v>289</v>
      </c>
      <c r="D132" s="53" t="s">
        <v>1273</v>
      </c>
      <c r="E132" s="54" t="s">
        <v>1274</v>
      </c>
      <c r="F132" s="54" t="s">
        <v>289</v>
      </c>
      <c r="G132" s="54" t="s">
        <v>1275</v>
      </c>
      <c r="H132" s="54" t="s">
        <v>1276</v>
      </c>
      <c r="I132" s="53" t="s">
        <v>1277</v>
      </c>
      <c r="J132" s="54" t="s">
        <v>1278</v>
      </c>
      <c r="K132" s="53" t="s">
        <v>1279</v>
      </c>
      <c r="L132" s="60" t="s">
        <v>9</v>
      </c>
      <c r="M132" s="62" t="n">
        <v>2</v>
      </c>
      <c r="N132" s="63" t="s">
        <v>1029</v>
      </c>
      <c r="O132" s="51" t="s">
        <v>95</v>
      </c>
      <c r="P132" s="54"/>
      <c r="Q132" s="54" t="s">
        <v>131</v>
      </c>
      <c r="R132" s="58" t="s">
        <v>132</v>
      </c>
      <c r="S132" s="54" t="s">
        <v>98</v>
      </c>
    </row>
    <row r="133" customFormat="false" ht="35.05" hidden="false" customHeight="false" outlineLevel="0" collapsed="false">
      <c r="A133" s="51" t="s">
        <v>1280</v>
      </c>
      <c r="B133" s="51" t="n">
        <v>129</v>
      </c>
      <c r="C133" s="52" t="s">
        <v>1281</v>
      </c>
      <c r="D133" s="53" t="s">
        <v>1282</v>
      </c>
      <c r="E133" s="54" t="s">
        <v>1283</v>
      </c>
      <c r="F133" s="54" t="s">
        <v>88</v>
      </c>
      <c r="G133" s="54" t="s">
        <v>1284</v>
      </c>
      <c r="H133" s="54" t="s">
        <v>1285</v>
      </c>
      <c r="I133" s="53" t="s">
        <v>1286</v>
      </c>
      <c r="J133" s="54" t="s">
        <v>1287</v>
      </c>
      <c r="K133" s="53" t="s">
        <v>1288</v>
      </c>
      <c r="L133" s="60" t="s">
        <v>9</v>
      </c>
      <c r="M133" s="62" t="n">
        <v>2</v>
      </c>
      <c r="N133" s="63" t="s">
        <v>1029</v>
      </c>
      <c r="O133" s="51" t="s">
        <v>95</v>
      </c>
      <c r="P133" s="54"/>
      <c r="Q133" s="54" t="s">
        <v>131</v>
      </c>
      <c r="R133" s="58" t="s">
        <v>132</v>
      </c>
      <c r="S133" s="54" t="s">
        <v>98</v>
      </c>
    </row>
    <row r="134" customFormat="false" ht="35.05" hidden="false" customHeight="false" outlineLevel="0" collapsed="false">
      <c r="A134" s="51" t="s">
        <v>1289</v>
      </c>
      <c r="B134" s="51" t="n">
        <v>130</v>
      </c>
      <c r="C134" s="52" t="s">
        <v>1290</v>
      </c>
      <c r="D134" s="53" t="s">
        <v>1291</v>
      </c>
      <c r="E134" s="54" t="s">
        <v>1292</v>
      </c>
      <c r="F134" s="54" t="s">
        <v>88</v>
      </c>
      <c r="G134" s="54" t="s">
        <v>1293</v>
      </c>
      <c r="H134" s="54" t="s">
        <v>1294</v>
      </c>
      <c r="I134" s="53" t="s">
        <v>1295</v>
      </c>
      <c r="J134" s="54" t="s">
        <v>1296</v>
      </c>
      <c r="K134" s="53" t="s">
        <v>1297</v>
      </c>
      <c r="L134" s="60" t="s">
        <v>9</v>
      </c>
      <c r="M134" s="62" t="n">
        <v>2</v>
      </c>
      <c r="N134" s="63" t="s">
        <v>1029</v>
      </c>
      <c r="O134" s="51" t="s">
        <v>95</v>
      </c>
      <c r="P134" s="54"/>
      <c r="Q134" s="54" t="s">
        <v>131</v>
      </c>
      <c r="R134" s="58" t="s">
        <v>132</v>
      </c>
      <c r="S134" s="54" t="s">
        <v>98</v>
      </c>
    </row>
    <row r="135" customFormat="false" ht="35.05" hidden="false" customHeight="false" outlineLevel="0" collapsed="false">
      <c r="A135" s="51" t="s">
        <v>1298</v>
      </c>
      <c r="B135" s="51" t="n">
        <v>131</v>
      </c>
      <c r="C135" s="52" t="s">
        <v>1299</v>
      </c>
      <c r="D135" s="53" t="s">
        <v>1300</v>
      </c>
      <c r="E135" s="54" t="s">
        <v>1301</v>
      </c>
      <c r="F135" s="54" t="s">
        <v>823</v>
      </c>
      <c r="G135" s="54" t="s">
        <v>1302</v>
      </c>
      <c r="H135" s="54" t="s">
        <v>1303</v>
      </c>
      <c r="I135" s="53" t="s">
        <v>1304</v>
      </c>
      <c r="J135" s="54" t="s">
        <v>1305</v>
      </c>
      <c r="K135" s="53" t="s">
        <v>1306</v>
      </c>
      <c r="L135" s="60" t="s">
        <v>9</v>
      </c>
      <c r="M135" s="62" t="n">
        <v>2</v>
      </c>
      <c r="N135" s="63" t="s">
        <v>1029</v>
      </c>
      <c r="O135" s="59" t="s">
        <v>161</v>
      </c>
      <c r="P135" s="54" t="s">
        <v>1307</v>
      </c>
      <c r="Q135" s="54" t="s">
        <v>96</v>
      </c>
      <c r="R135" s="58" t="s">
        <v>97</v>
      </c>
      <c r="S135" s="54" t="s">
        <v>98</v>
      </c>
    </row>
    <row r="136" customFormat="false" ht="35.05" hidden="false" customHeight="false" outlineLevel="0" collapsed="false">
      <c r="A136" s="51" t="s">
        <v>1308</v>
      </c>
      <c r="B136" s="51" t="n">
        <v>132</v>
      </c>
      <c r="C136" s="52" t="s">
        <v>1309</v>
      </c>
      <c r="D136" s="53" t="s">
        <v>1310</v>
      </c>
      <c r="E136" s="54" t="s">
        <v>1311</v>
      </c>
      <c r="F136" s="54" t="s">
        <v>1157</v>
      </c>
      <c r="G136" s="54" t="s">
        <v>1312</v>
      </c>
      <c r="H136" s="54" t="s">
        <v>1313</v>
      </c>
      <c r="I136" s="53" t="s">
        <v>1314</v>
      </c>
      <c r="J136" s="54" t="s">
        <v>1315</v>
      </c>
      <c r="K136" s="53" t="s">
        <v>1316</v>
      </c>
      <c r="L136" s="60" t="s">
        <v>9</v>
      </c>
      <c r="M136" s="62" t="n">
        <v>2</v>
      </c>
      <c r="N136" s="63" t="s">
        <v>1029</v>
      </c>
      <c r="O136" s="51" t="s">
        <v>95</v>
      </c>
      <c r="P136" s="54"/>
      <c r="Q136" s="54" t="s">
        <v>96</v>
      </c>
      <c r="R136" s="58" t="s">
        <v>97</v>
      </c>
      <c r="S136" s="54" t="s">
        <v>98</v>
      </c>
    </row>
    <row r="137" customFormat="false" ht="35.05" hidden="false" customHeight="false" outlineLevel="0" collapsed="false">
      <c r="A137" s="51" t="s">
        <v>1317</v>
      </c>
      <c r="B137" s="51" t="n">
        <v>133</v>
      </c>
      <c r="C137" s="52" t="s">
        <v>1318</v>
      </c>
      <c r="D137" s="53" t="s">
        <v>1319</v>
      </c>
      <c r="E137" s="54" t="s">
        <v>1320</v>
      </c>
      <c r="F137" s="54" t="s">
        <v>1157</v>
      </c>
      <c r="G137" s="54" t="s">
        <v>1321</v>
      </c>
      <c r="H137" s="54" t="s">
        <v>1322</v>
      </c>
      <c r="I137" s="53" t="s">
        <v>1323</v>
      </c>
      <c r="J137" s="54" t="s">
        <v>1324</v>
      </c>
      <c r="K137" s="53" t="s">
        <v>1325</v>
      </c>
      <c r="L137" s="60" t="s">
        <v>9</v>
      </c>
      <c r="M137" s="62" t="n">
        <v>2</v>
      </c>
      <c r="N137" s="63" t="s">
        <v>1029</v>
      </c>
      <c r="O137" s="51" t="s">
        <v>95</v>
      </c>
      <c r="P137" s="54"/>
      <c r="Q137" s="54" t="s">
        <v>131</v>
      </c>
      <c r="R137" s="58" t="s">
        <v>132</v>
      </c>
      <c r="S137" s="54" t="s">
        <v>98</v>
      </c>
    </row>
    <row r="138" customFormat="false" ht="35.05" hidden="false" customHeight="false" outlineLevel="0" collapsed="false">
      <c r="A138" s="51" t="s">
        <v>1326</v>
      </c>
      <c r="B138" s="51" t="n">
        <v>134</v>
      </c>
      <c r="C138" s="52" t="s">
        <v>1327</v>
      </c>
      <c r="D138" s="53" t="s">
        <v>1328</v>
      </c>
      <c r="E138" s="54" t="s">
        <v>1329</v>
      </c>
      <c r="F138" s="54" t="s">
        <v>1120</v>
      </c>
      <c r="G138" s="54" t="s">
        <v>1330</v>
      </c>
      <c r="H138" s="54" t="s">
        <v>1331</v>
      </c>
      <c r="I138" s="53" t="s">
        <v>1332</v>
      </c>
      <c r="J138" s="54" t="s">
        <v>1333</v>
      </c>
      <c r="K138" s="53" t="s">
        <v>1334</v>
      </c>
      <c r="L138" s="60" t="s">
        <v>9</v>
      </c>
      <c r="M138" s="62" t="n">
        <v>2</v>
      </c>
      <c r="N138" s="63" t="s">
        <v>1029</v>
      </c>
      <c r="O138" s="51" t="s">
        <v>95</v>
      </c>
      <c r="P138" s="54"/>
      <c r="Q138" s="54" t="s">
        <v>131</v>
      </c>
      <c r="R138" s="58" t="s">
        <v>132</v>
      </c>
      <c r="S138" s="54" t="s">
        <v>98</v>
      </c>
    </row>
    <row r="139" customFormat="false" ht="46.25" hidden="false" customHeight="false" outlineLevel="0" collapsed="false">
      <c r="A139" s="51" t="s">
        <v>1335</v>
      </c>
      <c r="B139" s="51" t="n">
        <v>135</v>
      </c>
      <c r="C139" s="52" t="s">
        <v>88</v>
      </c>
      <c r="D139" s="53" t="s">
        <v>1336</v>
      </c>
      <c r="E139" s="54" t="s">
        <v>1337</v>
      </c>
      <c r="F139" s="54" t="s">
        <v>88</v>
      </c>
      <c r="G139" s="54" t="s">
        <v>1338</v>
      </c>
      <c r="H139" s="54" t="s">
        <v>1339</v>
      </c>
      <c r="I139" s="53" t="s">
        <v>1340</v>
      </c>
      <c r="J139" s="54" t="s">
        <v>1341</v>
      </c>
      <c r="K139" s="53" t="s">
        <v>1342</v>
      </c>
      <c r="L139" s="60" t="s">
        <v>9</v>
      </c>
      <c r="M139" s="62" t="n">
        <v>2</v>
      </c>
      <c r="N139" s="63" t="s">
        <v>1029</v>
      </c>
      <c r="O139" s="51" t="s">
        <v>95</v>
      </c>
      <c r="P139" s="54"/>
      <c r="Q139" s="54" t="s">
        <v>621</v>
      </c>
      <c r="R139" s="58" t="s">
        <v>622</v>
      </c>
      <c r="S139" s="54" t="s">
        <v>98</v>
      </c>
    </row>
    <row r="140" customFormat="false" ht="35.05" hidden="false" customHeight="false" outlineLevel="0" collapsed="false">
      <c r="A140" s="51" t="s">
        <v>1343</v>
      </c>
      <c r="B140" s="51" t="n">
        <v>136</v>
      </c>
      <c r="C140" s="52" t="s">
        <v>1344</v>
      </c>
      <c r="D140" s="53" t="s">
        <v>1345</v>
      </c>
      <c r="E140" s="54" t="s">
        <v>1346</v>
      </c>
      <c r="F140" s="54" t="s">
        <v>1120</v>
      </c>
      <c r="G140" s="54" t="s">
        <v>1347</v>
      </c>
      <c r="H140" s="54" t="s">
        <v>1348</v>
      </c>
      <c r="I140" s="53" t="s">
        <v>1349</v>
      </c>
      <c r="J140" s="54" t="s">
        <v>1350</v>
      </c>
      <c r="K140" s="53" t="s">
        <v>1351</v>
      </c>
      <c r="L140" s="60" t="s">
        <v>9</v>
      </c>
      <c r="M140" s="62" t="n">
        <v>2</v>
      </c>
      <c r="N140" s="63" t="s">
        <v>1029</v>
      </c>
      <c r="O140" s="51" t="s">
        <v>95</v>
      </c>
      <c r="P140" s="54"/>
      <c r="Q140" s="54" t="s">
        <v>131</v>
      </c>
      <c r="R140" s="58" t="s">
        <v>132</v>
      </c>
      <c r="S140" s="54" t="s">
        <v>98</v>
      </c>
    </row>
    <row r="141" customFormat="false" ht="35.05" hidden="false" customHeight="false" outlineLevel="0" collapsed="false">
      <c r="A141" s="51" t="s">
        <v>1352</v>
      </c>
      <c r="B141" s="51" t="n">
        <v>137</v>
      </c>
      <c r="C141" s="52" t="s">
        <v>1353</v>
      </c>
      <c r="D141" s="53" t="s">
        <v>1354</v>
      </c>
      <c r="E141" s="54" t="s">
        <v>1355</v>
      </c>
      <c r="F141" s="54" t="s">
        <v>88</v>
      </c>
      <c r="G141" s="54" t="s">
        <v>1356</v>
      </c>
      <c r="H141" s="54" t="s">
        <v>1357</v>
      </c>
      <c r="I141" s="53" t="s">
        <v>1358</v>
      </c>
      <c r="J141" s="54" t="s">
        <v>1359</v>
      </c>
      <c r="K141" s="53" t="s">
        <v>1360</v>
      </c>
      <c r="L141" s="60" t="s">
        <v>9</v>
      </c>
      <c r="M141" s="62" t="n">
        <v>2</v>
      </c>
      <c r="N141" s="63" t="s">
        <v>1029</v>
      </c>
      <c r="O141" s="51" t="s">
        <v>95</v>
      </c>
      <c r="P141" s="54"/>
      <c r="Q141" s="54" t="s">
        <v>131</v>
      </c>
      <c r="R141" s="58" t="s">
        <v>132</v>
      </c>
      <c r="S141" s="54" t="s">
        <v>98</v>
      </c>
    </row>
    <row r="142" customFormat="false" ht="35.05" hidden="false" customHeight="false" outlineLevel="0" collapsed="false">
      <c r="A142" s="51" t="s">
        <v>1361</v>
      </c>
      <c r="B142" s="51" t="n">
        <v>138</v>
      </c>
      <c r="C142" s="52" t="s">
        <v>1362</v>
      </c>
      <c r="D142" s="53" t="s">
        <v>1363</v>
      </c>
      <c r="E142" s="54" t="s">
        <v>1364</v>
      </c>
      <c r="F142" s="54" t="s">
        <v>1120</v>
      </c>
      <c r="G142" s="54" t="s">
        <v>1365</v>
      </c>
      <c r="H142" s="54" t="s">
        <v>1366</v>
      </c>
      <c r="I142" s="53" t="s">
        <v>1367</v>
      </c>
      <c r="J142" s="54" t="s">
        <v>1368</v>
      </c>
      <c r="K142" s="53" t="s">
        <v>1369</v>
      </c>
      <c r="L142" s="60" t="s">
        <v>9</v>
      </c>
      <c r="M142" s="62" t="n">
        <v>2</v>
      </c>
      <c r="N142" s="63" t="s">
        <v>1029</v>
      </c>
      <c r="O142" s="59" t="s">
        <v>161</v>
      </c>
      <c r="P142" s="54" t="s">
        <v>1370</v>
      </c>
      <c r="Q142" s="54" t="s">
        <v>516</v>
      </c>
      <c r="R142" s="58" t="s">
        <v>517</v>
      </c>
      <c r="S142" s="54" t="s">
        <v>98</v>
      </c>
    </row>
    <row r="143" customFormat="false" ht="35.05" hidden="false" customHeight="false" outlineLevel="0" collapsed="false">
      <c r="A143" s="51" t="s">
        <v>1371</v>
      </c>
      <c r="B143" s="51" t="n">
        <v>139</v>
      </c>
      <c r="C143" s="52" t="s">
        <v>1372</v>
      </c>
      <c r="D143" s="53" t="s">
        <v>1373</v>
      </c>
      <c r="E143" s="54" t="s">
        <v>1374</v>
      </c>
      <c r="F143" s="54" t="s">
        <v>88</v>
      </c>
      <c r="G143" s="54" t="s">
        <v>1375</v>
      </c>
      <c r="H143" s="54" t="s">
        <v>1376</v>
      </c>
      <c r="I143" s="53" t="s">
        <v>1377</v>
      </c>
      <c r="J143" s="54" t="s">
        <v>1378</v>
      </c>
      <c r="K143" s="53" t="s">
        <v>1379</v>
      </c>
      <c r="L143" s="60" t="s">
        <v>9</v>
      </c>
      <c r="M143" s="62" t="n">
        <v>2</v>
      </c>
      <c r="N143" s="63" t="s">
        <v>1029</v>
      </c>
      <c r="O143" s="51" t="s">
        <v>95</v>
      </c>
      <c r="P143" s="54"/>
      <c r="Q143" s="54" t="s">
        <v>131</v>
      </c>
      <c r="R143" s="58" t="s">
        <v>132</v>
      </c>
      <c r="S143" s="54" t="s">
        <v>98</v>
      </c>
    </row>
    <row r="144" customFormat="false" ht="35.05" hidden="false" customHeight="false" outlineLevel="0" collapsed="false">
      <c r="A144" s="51" t="s">
        <v>1380</v>
      </c>
      <c r="B144" s="51" t="n">
        <v>140</v>
      </c>
      <c r="C144" s="52" t="s">
        <v>1381</v>
      </c>
      <c r="D144" s="53" t="s">
        <v>1382</v>
      </c>
      <c r="E144" s="54" t="s">
        <v>1383</v>
      </c>
      <c r="F144" s="54" t="s">
        <v>823</v>
      </c>
      <c r="G144" s="54" t="s">
        <v>1384</v>
      </c>
      <c r="H144" s="54" t="s">
        <v>1385</v>
      </c>
      <c r="I144" s="53" t="s">
        <v>1386</v>
      </c>
      <c r="J144" s="54" t="s">
        <v>1387</v>
      </c>
      <c r="K144" s="53" t="s">
        <v>1388</v>
      </c>
      <c r="L144" s="60" t="s">
        <v>9</v>
      </c>
      <c r="M144" s="62" t="n">
        <v>2</v>
      </c>
      <c r="N144" s="63" t="s">
        <v>1029</v>
      </c>
      <c r="O144" s="59" t="s">
        <v>161</v>
      </c>
      <c r="P144" s="54" t="s">
        <v>1307</v>
      </c>
      <c r="Q144" s="54" t="s">
        <v>516</v>
      </c>
      <c r="R144" s="58" t="s">
        <v>517</v>
      </c>
      <c r="S144" s="54" t="s">
        <v>98</v>
      </c>
    </row>
    <row r="145" customFormat="false" ht="46.25" hidden="false" customHeight="false" outlineLevel="0" collapsed="false">
      <c r="A145" s="51" t="s">
        <v>1389</v>
      </c>
      <c r="B145" s="51" t="n">
        <v>141</v>
      </c>
      <c r="C145" s="52" t="s">
        <v>1390</v>
      </c>
      <c r="D145" s="53" t="s">
        <v>1391</v>
      </c>
      <c r="E145" s="54" t="s">
        <v>1392</v>
      </c>
      <c r="F145" s="54" t="s">
        <v>88</v>
      </c>
      <c r="G145" s="54" t="s">
        <v>1393</v>
      </c>
      <c r="H145" s="54" t="s">
        <v>1394</v>
      </c>
      <c r="I145" s="53" t="s">
        <v>1395</v>
      </c>
      <c r="J145" s="54" t="s">
        <v>1396</v>
      </c>
      <c r="K145" s="53" t="s">
        <v>1397</v>
      </c>
      <c r="L145" s="60" t="s">
        <v>9</v>
      </c>
      <c r="M145" s="62" t="n">
        <v>2</v>
      </c>
      <c r="N145" s="63" t="s">
        <v>1029</v>
      </c>
      <c r="O145" s="51" t="s">
        <v>95</v>
      </c>
      <c r="P145" s="54"/>
      <c r="Q145" s="54" t="s">
        <v>109</v>
      </c>
      <c r="R145" s="58" t="s">
        <v>110</v>
      </c>
      <c r="S145" s="54" t="s">
        <v>98</v>
      </c>
    </row>
    <row r="146" customFormat="false" ht="35.05" hidden="false" customHeight="false" outlineLevel="0" collapsed="false">
      <c r="A146" s="51" t="s">
        <v>1398</v>
      </c>
      <c r="B146" s="51" t="n">
        <v>142</v>
      </c>
      <c r="C146" s="52" t="s">
        <v>1399</v>
      </c>
      <c r="D146" s="53" t="s">
        <v>1400</v>
      </c>
      <c r="E146" s="54" t="s">
        <v>1401</v>
      </c>
      <c r="F146" s="54" t="s">
        <v>1120</v>
      </c>
      <c r="G146" s="54" t="s">
        <v>1402</v>
      </c>
      <c r="H146" s="54" t="s">
        <v>1403</v>
      </c>
      <c r="I146" s="53" t="s">
        <v>1404</v>
      </c>
      <c r="J146" s="54" t="s">
        <v>1405</v>
      </c>
      <c r="K146" s="53" t="s">
        <v>1406</v>
      </c>
      <c r="L146" s="60" t="s">
        <v>9</v>
      </c>
      <c r="M146" s="62" t="n">
        <v>2</v>
      </c>
      <c r="N146" s="63" t="s">
        <v>1029</v>
      </c>
      <c r="O146" s="51" t="s">
        <v>95</v>
      </c>
      <c r="P146" s="54"/>
      <c r="Q146" s="54" t="s">
        <v>131</v>
      </c>
      <c r="R146" s="58" t="s">
        <v>132</v>
      </c>
      <c r="S146" s="54" t="s">
        <v>98</v>
      </c>
    </row>
    <row r="147" customFormat="false" ht="35.05" hidden="false" customHeight="false" outlineLevel="0" collapsed="false">
      <c r="A147" s="51" t="s">
        <v>1407</v>
      </c>
      <c r="B147" s="51" t="n">
        <v>143</v>
      </c>
      <c r="C147" s="52" t="s">
        <v>1408</v>
      </c>
      <c r="D147" s="53" t="s">
        <v>1409</v>
      </c>
      <c r="E147" s="54" t="s">
        <v>1410</v>
      </c>
      <c r="F147" s="54" t="s">
        <v>88</v>
      </c>
      <c r="G147" s="54" t="s">
        <v>1411</v>
      </c>
      <c r="H147" s="54" t="s">
        <v>1412</v>
      </c>
      <c r="I147" s="53" t="s">
        <v>1413</v>
      </c>
      <c r="J147" s="54" t="s">
        <v>1414</v>
      </c>
      <c r="K147" s="53" t="s">
        <v>1415</v>
      </c>
      <c r="L147" s="60" t="s">
        <v>9</v>
      </c>
      <c r="M147" s="62" t="n">
        <v>2</v>
      </c>
      <c r="N147" s="63" t="s">
        <v>1029</v>
      </c>
      <c r="O147" s="59" t="s">
        <v>161</v>
      </c>
      <c r="P147" s="54" t="s">
        <v>1416</v>
      </c>
      <c r="Q147" s="54" t="s">
        <v>131</v>
      </c>
      <c r="R147" s="58" t="s">
        <v>132</v>
      </c>
      <c r="S147" s="54" t="s">
        <v>98</v>
      </c>
    </row>
    <row r="148" customFormat="false" ht="35.05" hidden="false" customHeight="false" outlineLevel="0" collapsed="false">
      <c r="A148" s="51" t="s">
        <v>1417</v>
      </c>
      <c r="B148" s="51" t="n">
        <v>144</v>
      </c>
      <c r="C148" s="52" t="s">
        <v>1418</v>
      </c>
      <c r="D148" s="53" t="s">
        <v>1419</v>
      </c>
      <c r="E148" s="54" t="s">
        <v>1420</v>
      </c>
      <c r="F148" s="54" t="s">
        <v>1157</v>
      </c>
      <c r="G148" s="54" t="s">
        <v>1421</v>
      </c>
      <c r="H148" s="54" t="s">
        <v>1422</v>
      </c>
      <c r="I148" s="53" t="s">
        <v>1423</v>
      </c>
      <c r="J148" s="54" t="s">
        <v>1424</v>
      </c>
      <c r="K148" s="53" t="s">
        <v>1425</v>
      </c>
      <c r="L148" s="60" t="s">
        <v>9</v>
      </c>
      <c r="M148" s="62" t="n">
        <v>2</v>
      </c>
      <c r="N148" s="63" t="s">
        <v>1029</v>
      </c>
      <c r="O148" s="51" t="s">
        <v>95</v>
      </c>
      <c r="P148" s="54"/>
      <c r="Q148" s="54" t="s">
        <v>96</v>
      </c>
      <c r="R148" s="58" t="s">
        <v>97</v>
      </c>
      <c r="S148" s="54" t="s">
        <v>98</v>
      </c>
    </row>
    <row r="149" customFormat="false" ht="46.25" hidden="false" customHeight="false" outlineLevel="0" collapsed="false">
      <c r="A149" s="51" t="s">
        <v>1426</v>
      </c>
      <c r="B149" s="51" t="n">
        <v>145</v>
      </c>
      <c r="C149" s="52" t="s">
        <v>1427</v>
      </c>
      <c r="D149" s="53" t="s">
        <v>1428</v>
      </c>
      <c r="E149" s="54" t="s">
        <v>1429</v>
      </c>
      <c r="F149" s="54" t="s">
        <v>1023</v>
      </c>
      <c r="G149" s="54" t="s">
        <v>1430</v>
      </c>
      <c r="H149" s="54" t="s">
        <v>1431</v>
      </c>
      <c r="I149" s="53" t="s">
        <v>1432</v>
      </c>
      <c r="J149" s="54" t="s">
        <v>1433</v>
      </c>
      <c r="K149" s="53" t="s">
        <v>1434</v>
      </c>
      <c r="L149" s="60" t="s">
        <v>9</v>
      </c>
      <c r="M149" s="62" t="n">
        <v>2</v>
      </c>
      <c r="N149" s="63" t="s">
        <v>1029</v>
      </c>
      <c r="O149" s="59" t="s">
        <v>161</v>
      </c>
      <c r="P149" s="54" t="s">
        <v>1030</v>
      </c>
      <c r="Q149" s="54" t="s">
        <v>621</v>
      </c>
      <c r="R149" s="58" t="s">
        <v>622</v>
      </c>
      <c r="S149" s="54" t="s">
        <v>98</v>
      </c>
    </row>
    <row r="150" customFormat="false" ht="46.25" hidden="false" customHeight="false" outlineLevel="0" collapsed="false">
      <c r="A150" s="51" t="s">
        <v>1435</v>
      </c>
      <c r="B150" s="51" t="n">
        <v>146</v>
      </c>
      <c r="C150" s="52" t="s">
        <v>1436</v>
      </c>
      <c r="D150" s="53" t="s">
        <v>1437</v>
      </c>
      <c r="E150" s="54" t="s">
        <v>1438</v>
      </c>
      <c r="F150" s="54" t="s">
        <v>88</v>
      </c>
      <c r="G150" s="54" t="s">
        <v>1439</v>
      </c>
      <c r="H150" s="54" t="s">
        <v>1440</v>
      </c>
      <c r="I150" s="53" t="s">
        <v>1441</v>
      </c>
      <c r="J150" s="54" t="s">
        <v>1442</v>
      </c>
      <c r="K150" s="53" t="s">
        <v>1443</v>
      </c>
      <c r="L150" s="60" t="s">
        <v>9</v>
      </c>
      <c r="M150" s="62" t="n">
        <v>2</v>
      </c>
      <c r="N150" s="63" t="s">
        <v>1029</v>
      </c>
      <c r="O150" s="51" t="s">
        <v>95</v>
      </c>
      <c r="P150" s="54"/>
      <c r="Q150" s="54" t="s">
        <v>109</v>
      </c>
      <c r="R150" s="58" t="s">
        <v>110</v>
      </c>
      <c r="S150" s="54" t="s">
        <v>98</v>
      </c>
    </row>
    <row r="151" customFormat="false" ht="35.05" hidden="false" customHeight="false" outlineLevel="0" collapsed="false">
      <c r="A151" s="51" t="s">
        <v>1444</v>
      </c>
      <c r="B151" s="51" t="n">
        <v>147</v>
      </c>
      <c r="C151" s="52" t="s">
        <v>1445</v>
      </c>
      <c r="D151" s="53" t="s">
        <v>1446</v>
      </c>
      <c r="E151" s="54" t="s">
        <v>1447</v>
      </c>
      <c r="F151" s="54" t="s">
        <v>823</v>
      </c>
      <c r="G151" s="54" t="s">
        <v>1448</v>
      </c>
      <c r="H151" s="54" t="s">
        <v>1449</v>
      </c>
      <c r="I151" s="53" t="s">
        <v>1450</v>
      </c>
      <c r="J151" s="54" t="s">
        <v>1451</v>
      </c>
      <c r="K151" s="53" t="s">
        <v>1452</v>
      </c>
      <c r="L151" s="60" t="s">
        <v>9</v>
      </c>
      <c r="M151" s="62" t="n">
        <v>2</v>
      </c>
      <c r="N151" s="63" t="s">
        <v>1029</v>
      </c>
      <c r="O151" s="51" t="s">
        <v>95</v>
      </c>
      <c r="P151" s="54"/>
      <c r="Q151" s="54" t="s">
        <v>96</v>
      </c>
      <c r="R151" s="58" t="s">
        <v>97</v>
      </c>
      <c r="S151" s="54" t="s">
        <v>98</v>
      </c>
    </row>
    <row r="152" customFormat="false" ht="35.05" hidden="false" customHeight="false" outlineLevel="0" collapsed="false">
      <c r="A152" s="51" t="s">
        <v>1453</v>
      </c>
      <c r="B152" s="51" t="n">
        <v>148</v>
      </c>
      <c r="C152" s="52" t="s">
        <v>1454</v>
      </c>
      <c r="D152" s="53" t="s">
        <v>1455</v>
      </c>
      <c r="E152" s="54" t="s">
        <v>1456</v>
      </c>
      <c r="F152" s="54" t="s">
        <v>823</v>
      </c>
      <c r="G152" s="54" t="s">
        <v>1457</v>
      </c>
      <c r="H152" s="54" t="s">
        <v>1458</v>
      </c>
      <c r="I152" s="53" t="s">
        <v>1459</v>
      </c>
      <c r="J152" s="54" t="s">
        <v>1460</v>
      </c>
      <c r="K152" s="53" t="s">
        <v>1461</v>
      </c>
      <c r="L152" s="60" t="s">
        <v>9</v>
      </c>
      <c r="M152" s="62" t="n">
        <v>2</v>
      </c>
      <c r="N152" s="63" t="s">
        <v>1029</v>
      </c>
      <c r="O152" s="51" t="s">
        <v>95</v>
      </c>
      <c r="P152" s="54"/>
      <c r="Q152" s="54" t="s">
        <v>131</v>
      </c>
      <c r="R152" s="58" t="s">
        <v>132</v>
      </c>
      <c r="S152" s="54" t="s">
        <v>98</v>
      </c>
    </row>
    <row r="153" customFormat="false" ht="35.05" hidden="false" customHeight="false" outlineLevel="0" collapsed="false">
      <c r="A153" s="51" t="s">
        <v>1462</v>
      </c>
      <c r="B153" s="51" t="n">
        <v>149</v>
      </c>
      <c r="C153" s="52" t="s">
        <v>1463</v>
      </c>
      <c r="D153" s="53" t="s">
        <v>1464</v>
      </c>
      <c r="E153" s="54" t="s">
        <v>1465</v>
      </c>
      <c r="F153" s="54" t="s">
        <v>115</v>
      </c>
      <c r="G153" s="54" t="s">
        <v>1466</v>
      </c>
      <c r="H153" s="54" t="s">
        <v>1467</v>
      </c>
      <c r="I153" s="53" t="s">
        <v>1468</v>
      </c>
      <c r="J153" s="54" t="s">
        <v>1469</v>
      </c>
      <c r="K153" s="53" t="s">
        <v>1470</v>
      </c>
      <c r="L153" s="60" t="s">
        <v>9</v>
      </c>
      <c r="M153" s="62" t="n">
        <v>2</v>
      </c>
      <c r="N153" s="63" t="s">
        <v>1029</v>
      </c>
      <c r="O153" s="51" t="s">
        <v>95</v>
      </c>
      <c r="P153" s="54"/>
      <c r="Q153" s="54" t="s">
        <v>131</v>
      </c>
      <c r="R153" s="58" t="s">
        <v>132</v>
      </c>
      <c r="S153" s="54" t="s">
        <v>98</v>
      </c>
    </row>
    <row r="154" customFormat="false" ht="35.05" hidden="false" customHeight="false" outlineLevel="0" collapsed="false">
      <c r="A154" s="51" t="s">
        <v>1471</v>
      </c>
      <c r="B154" s="51" t="n">
        <v>150</v>
      </c>
      <c r="C154" s="52" t="s">
        <v>1472</v>
      </c>
      <c r="D154" s="53" t="s">
        <v>1473</v>
      </c>
      <c r="E154" s="54" t="s">
        <v>1474</v>
      </c>
      <c r="F154" s="54" t="s">
        <v>823</v>
      </c>
      <c r="G154" s="54" t="s">
        <v>1475</v>
      </c>
      <c r="H154" s="54" t="s">
        <v>1476</v>
      </c>
      <c r="I154" s="53" t="s">
        <v>1477</v>
      </c>
      <c r="J154" s="54" t="s">
        <v>1478</v>
      </c>
      <c r="K154" s="53" t="s">
        <v>1479</v>
      </c>
      <c r="L154" s="60" t="s">
        <v>9</v>
      </c>
      <c r="M154" s="62" t="n">
        <v>2</v>
      </c>
      <c r="N154" s="63" t="s">
        <v>1029</v>
      </c>
      <c r="O154" s="51" t="s">
        <v>95</v>
      </c>
      <c r="P154" s="54"/>
      <c r="Q154" s="54" t="s">
        <v>131</v>
      </c>
      <c r="R154" s="58" t="s">
        <v>132</v>
      </c>
      <c r="S154" s="54" t="s">
        <v>98</v>
      </c>
    </row>
    <row r="155" customFormat="false" ht="35.05" hidden="false" customHeight="false" outlineLevel="0" collapsed="false">
      <c r="A155" s="51" t="s">
        <v>1480</v>
      </c>
      <c r="B155" s="51" t="n">
        <v>151</v>
      </c>
      <c r="C155" s="52" t="s">
        <v>1481</v>
      </c>
      <c r="D155" s="53" t="s">
        <v>1482</v>
      </c>
      <c r="E155" s="54" t="s">
        <v>1483</v>
      </c>
      <c r="F155" s="54" t="s">
        <v>289</v>
      </c>
      <c r="G155" s="54" t="s">
        <v>1484</v>
      </c>
      <c r="H155" s="54" t="s">
        <v>1485</v>
      </c>
      <c r="I155" s="53" t="s">
        <v>1486</v>
      </c>
      <c r="J155" s="54" t="s">
        <v>1487</v>
      </c>
      <c r="K155" s="53" t="s">
        <v>1488</v>
      </c>
      <c r="L155" s="60" t="s">
        <v>9</v>
      </c>
      <c r="M155" s="62" t="n">
        <v>2</v>
      </c>
      <c r="N155" s="63" t="s">
        <v>1029</v>
      </c>
      <c r="O155" s="51" t="s">
        <v>95</v>
      </c>
      <c r="P155" s="54"/>
      <c r="Q155" s="54" t="s">
        <v>131</v>
      </c>
      <c r="R155" s="58" t="s">
        <v>132</v>
      </c>
      <c r="S155" s="54" t="s">
        <v>98</v>
      </c>
    </row>
    <row r="156" customFormat="false" ht="35.05" hidden="false" customHeight="false" outlineLevel="0" collapsed="false">
      <c r="A156" s="51" t="s">
        <v>1489</v>
      </c>
      <c r="B156" s="51" t="n">
        <v>152</v>
      </c>
      <c r="C156" s="52" t="s">
        <v>1490</v>
      </c>
      <c r="D156" s="53" t="s">
        <v>1491</v>
      </c>
      <c r="E156" s="54" t="s">
        <v>1492</v>
      </c>
      <c r="F156" s="54" t="s">
        <v>125</v>
      </c>
      <c r="G156" s="54" t="s">
        <v>1493</v>
      </c>
      <c r="H156" s="54" t="s">
        <v>1494</v>
      </c>
      <c r="I156" s="53" t="s">
        <v>1495</v>
      </c>
      <c r="J156" s="54" t="s">
        <v>1496</v>
      </c>
      <c r="K156" s="53" t="s">
        <v>1497</v>
      </c>
      <c r="L156" s="60" t="s">
        <v>9</v>
      </c>
      <c r="M156" s="62" t="n">
        <v>2</v>
      </c>
      <c r="N156" s="63" t="s">
        <v>1029</v>
      </c>
      <c r="O156" s="51" t="s">
        <v>95</v>
      </c>
      <c r="P156" s="54"/>
      <c r="Q156" s="54" t="s">
        <v>516</v>
      </c>
      <c r="R156" s="58" t="s">
        <v>517</v>
      </c>
      <c r="S156" s="54" t="s">
        <v>98</v>
      </c>
    </row>
    <row r="157" customFormat="false" ht="35.05" hidden="false" customHeight="false" outlineLevel="0" collapsed="false">
      <c r="A157" s="51" t="s">
        <v>1498</v>
      </c>
      <c r="B157" s="51" t="n">
        <v>153</v>
      </c>
      <c r="C157" s="52" t="s">
        <v>1499</v>
      </c>
      <c r="D157" s="53" t="s">
        <v>1500</v>
      </c>
      <c r="E157" s="54" t="s">
        <v>1501</v>
      </c>
      <c r="F157" s="54" t="s">
        <v>88</v>
      </c>
      <c r="G157" s="54" t="s">
        <v>1502</v>
      </c>
      <c r="H157" s="54" t="s">
        <v>1503</v>
      </c>
      <c r="I157" s="53" t="s">
        <v>1504</v>
      </c>
      <c r="J157" s="54" t="s">
        <v>1505</v>
      </c>
      <c r="K157" s="53" t="s">
        <v>1506</v>
      </c>
      <c r="L157" s="60" t="s">
        <v>9</v>
      </c>
      <c r="M157" s="62" t="n">
        <v>2</v>
      </c>
      <c r="N157" s="63" t="s">
        <v>1029</v>
      </c>
      <c r="O157" s="59" t="s">
        <v>161</v>
      </c>
      <c r="P157" s="54" t="s">
        <v>1507</v>
      </c>
      <c r="Q157" s="54" t="s">
        <v>131</v>
      </c>
      <c r="R157" s="58" t="s">
        <v>132</v>
      </c>
      <c r="S157" s="54" t="s">
        <v>98</v>
      </c>
    </row>
    <row r="158" customFormat="false" ht="35.05" hidden="false" customHeight="false" outlineLevel="0" collapsed="false">
      <c r="A158" s="51" t="s">
        <v>1508</v>
      </c>
      <c r="B158" s="51" t="n">
        <v>154</v>
      </c>
      <c r="C158" s="52" t="s">
        <v>1509</v>
      </c>
      <c r="D158" s="53" t="s">
        <v>1510</v>
      </c>
      <c r="E158" s="54" t="s">
        <v>1511</v>
      </c>
      <c r="F158" s="54" t="s">
        <v>1120</v>
      </c>
      <c r="G158" s="54" t="s">
        <v>1512</v>
      </c>
      <c r="H158" s="54" t="s">
        <v>1513</v>
      </c>
      <c r="I158" s="53" t="s">
        <v>1514</v>
      </c>
      <c r="J158" s="54" t="s">
        <v>1515</v>
      </c>
      <c r="K158" s="53" t="s">
        <v>1516</v>
      </c>
      <c r="L158" s="60" t="s">
        <v>9</v>
      </c>
      <c r="M158" s="62" t="n">
        <v>2</v>
      </c>
      <c r="N158" s="63" t="s">
        <v>1029</v>
      </c>
      <c r="O158" s="51" t="s">
        <v>95</v>
      </c>
      <c r="P158" s="54"/>
      <c r="Q158" s="54" t="s">
        <v>516</v>
      </c>
      <c r="R158" s="58" t="s">
        <v>517</v>
      </c>
      <c r="S158" s="54" t="s">
        <v>98</v>
      </c>
    </row>
    <row r="159" customFormat="false" ht="46.25" hidden="false" customHeight="false" outlineLevel="0" collapsed="false">
      <c r="A159" s="51" t="s">
        <v>1517</v>
      </c>
      <c r="B159" s="51" t="n">
        <v>155</v>
      </c>
      <c r="C159" s="52" t="s">
        <v>1518</v>
      </c>
      <c r="D159" s="53" t="s">
        <v>1519</v>
      </c>
      <c r="E159" s="54" t="s">
        <v>1520</v>
      </c>
      <c r="F159" s="54" t="s">
        <v>88</v>
      </c>
      <c r="G159" s="54" t="s">
        <v>1521</v>
      </c>
      <c r="H159" s="54" t="s">
        <v>1522</v>
      </c>
      <c r="I159" s="53" t="s">
        <v>1523</v>
      </c>
      <c r="J159" s="54" t="s">
        <v>1524</v>
      </c>
      <c r="K159" s="53" t="s">
        <v>1525</v>
      </c>
      <c r="L159" s="60" t="s">
        <v>9</v>
      </c>
      <c r="M159" s="62" t="n">
        <v>2</v>
      </c>
      <c r="N159" s="63" t="s">
        <v>1029</v>
      </c>
      <c r="O159" s="51" t="s">
        <v>95</v>
      </c>
      <c r="P159" s="54"/>
      <c r="Q159" s="54" t="s">
        <v>109</v>
      </c>
      <c r="R159" s="58" t="s">
        <v>110</v>
      </c>
      <c r="S159" s="54" t="s">
        <v>98</v>
      </c>
    </row>
    <row r="160" customFormat="false" ht="35.05" hidden="false" customHeight="false" outlineLevel="0" collapsed="false">
      <c r="A160" s="51" t="s">
        <v>1526</v>
      </c>
      <c r="B160" s="51" t="n">
        <v>156</v>
      </c>
      <c r="C160" s="52" t="s">
        <v>1527</v>
      </c>
      <c r="D160" s="53" t="s">
        <v>1528</v>
      </c>
      <c r="E160" s="54" t="s">
        <v>1529</v>
      </c>
      <c r="F160" s="54" t="s">
        <v>88</v>
      </c>
      <c r="G160" s="54" t="s">
        <v>1530</v>
      </c>
      <c r="H160" s="54" t="s">
        <v>1531</v>
      </c>
      <c r="I160" s="53" t="s">
        <v>1532</v>
      </c>
      <c r="J160" s="54" t="s">
        <v>1533</v>
      </c>
      <c r="K160" s="53" t="s">
        <v>1534</v>
      </c>
      <c r="L160" s="61" t="s">
        <v>10</v>
      </c>
      <c r="M160" s="62" t="n">
        <v>2</v>
      </c>
      <c r="N160" s="63" t="s">
        <v>1029</v>
      </c>
      <c r="O160" s="51" t="s">
        <v>95</v>
      </c>
      <c r="P160" s="54"/>
      <c r="Q160" s="54" t="s">
        <v>131</v>
      </c>
      <c r="R160" s="58" t="s">
        <v>132</v>
      </c>
      <c r="S160" s="54" t="s">
        <v>98</v>
      </c>
    </row>
    <row r="161" customFormat="false" ht="35.05" hidden="false" customHeight="false" outlineLevel="0" collapsed="false">
      <c r="A161" s="51" t="s">
        <v>1535</v>
      </c>
      <c r="B161" s="51" t="n">
        <v>157</v>
      </c>
      <c r="C161" s="52" t="s">
        <v>1536</v>
      </c>
      <c r="D161" s="53" t="s">
        <v>1537</v>
      </c>
      <c r="E161" s="54" t="s">
        <v>1538</v>
      </c>
      <c r="F161" s="54" t="s">
        <v>115</v>
      </c>
      <c r="G161" s="54" t="s">
        <v>1539</v>
      </c>
      <c r="H161" s="54" t="s">
        <v>1540</v>
      </c>
      <c r="I161" s="53" t="s">
        <v>1541</v>
      </c>
      <c r="J161" s="54" t="s">
        <v>1542</v>
      </c>
      <c r="K161" s="53" t="s">
        <v>1543</v>
      </c>
      <c r="L161" s="61" t="s">
        <v>10</v>
      </c>
      <c r="M161" s="62" t="n">
        <v>2</v>
      </c>
      <c r="N161" s="63" t="s">
        <v>1029</v>
      </c>
      <c r="O161" s="51" t="s">
        <v>95</v>
      </c>
      <c r="P161" s="54"/>
      <c r="Q161" s="54" t="s">
        <v>131</v>
      </c>
      <c r="R161" s="58" t="s">
        <v>132</v>
      </c>
      <c r="S161" s="54" t="s">
        <v>98</v>
      </c>
    </row>
    <row r="162" customFormat="false" ht="35.05" hidden="false" customHeight="false" outlineLevel="0" collapsed="false">
      <c r="A162" s="51" t="s">
        <v>1544</v>
      </c>
      <c r="B162" s="51" t="n">
        <v>158</v>
      </c>
      <c r="C162" s="52" t="s">
        <v>1545</v>
      </c>
      <c r="D162" s="53" t="s">
        <v>1546</v>
      </c>
      <c r="E162" s="54" t="s">
        <v>1547</v>
      </c>
      <c r="F162" s="54" t="s">
        <v>823</v>
      </c>
      <c r="G162" s="54" t="s">
        <v>1548</v>
      </c>
      <c r="H162" s="54" t="s">
        <v>1549</v>
      </c>
      <c r="I162" s="53" t="s">
        <v>1550</v>
      </c>
      <c r="J162" s="54" t="s">
        <v>1551</v>
      </c>
      <c r="K162" s="53" t="s">
        <v>1552</v>
      </c>
      <c r="L162" s="61" t="s">
        <v>10</v>
      </c>
      <c r="M162" s="62" t="n">
        <v>2</v>
      </c>
      <c r="N162" s="63" t="s">
        <v>1029</v>
      </c>
      <c r="O162" s="51" t="s">
        <v>95</v>
      </c>
      <c r="P162" s="54"/>
      <c r="Q162" s="54" t="s">
        <v>516</v>
      </c>
      <c r="R162" s="58" t="s">
        <v>517</v>
      </c>
      <c r="S162" s="54" t="s">
        <v>98</v>
      </c>
    </row>
    <row r="163" customFormat="false" ht="35.05" hidden="false" customHeight="false" outlineLevel="0" collapsed="false">
      <c r="A163" s="51" t="s">
        <v>1553</v>
      </c>
      <c r="B163" s="51" t="n">
        <v>159</v>
      </c>
      <c r="C163" s="52" t="s">
        <v>1554</v>
      </c>
      <c r="D163" s="53" t="s">
        <v>1555</v>
      </c>
      <c r="E163" s="54" t="s">
        <v>1556</v>
      </c>
      <c r="F163" s="54" t="s">
        <v>1157</v>
      </c>
      <c r="G163" s="54" t="s">
        <v>1557</v>
      </c>
      <c r="H163" s="54" t="s">
        <v>1558</v>
      </c>
      <c r="I163" s="53" t="s">
        <v>1559</v>
      </c>
      <c r="J163" s="54" t="s">
        <v>1560</v>
      </c>
      <c r="K163" s="53" t="s">
        <v>1561</v>
      </c>
      <c r="L163" s="61" t="s">
        <v>10</v>
      </c>
      <c r="M163" s="62" t="n">
        <v>2</v>
      </c>
      <c r="N163" s="63" t="s">
        <v>1029</v>
      </c>
      <c r="O163" s="51" t="s">
        <v>95</v>
      </c>
      <c r="P163" s="54"/>
      <c r="Q163" s="54" t="s">
        <v>131</v>
      </c>
      <c r="R163" s="58" t="s">
        <v>132</v>
      </c>
      <c r="S163" s="54" t="s">
        <v>98</v>
      </c>
    </row>
    <row r="164" customFormat="false" ht="35.05" hidden="false" customHeight="false" outlineLevel="0" collapsed="false">
      <c r="A164" s="51" t="s">
        <v>1562</v>
      </c>
      <c r="B164" s="51" t="n">
        <v>160</v>
      </c>
      <c r="C164" s="52" t="s">
        <v>1563</v>
      </c>
      <c r="D164" s="53" t="s">
        <v>1564</v>
      </c>
      <c r="E164" s="54" t="s">
        <v>1565</v>
      </c>
      <c r="F164" s="54" t="s">
        <v>88</v>
      </c>
      <c r="G164" s="54" t="s">
        <v>1566</v>
      </c>
      <c r="H164" s="54" t="s">
        <v>1567</v>
      </c>
      <c r="I164" s="53" t="s">
        <v>1568</v>
      </c>
      <c r="J164" s="54" t="s">
        <v>1569</v>
      </c>
      <c r="K164" s="53" t="s">
        <v>1570</v>
      </c>
      <c r="L164" s="61" t="s">
        <v>10</v>
      </c>
      <c r="M164" s="62" t="n">
        <v>2</v>
      </c>
      <c r="N164" s="63" t="s">
        <v>1029</v>
      </c>
      <c r="O164" s="51" t="s">
        <v>95</v>
      </c>
      <c r="P164" s="54"/>
      <c r="Q164" s="54" t="s">
        <v>131</v>
      </c>
      <c r="R164" s="58" t="s">
        <v>132</v>
      </c>
      <c r="S164" s="54" t="s">
        <v>98</v>
      </c>
    </row>
    <row r="165" customFormat="false" ht="35.05" hidden="false" customHeight="false" outlineLevel="0" collapsed="false">
      <c r="A165" s="51" t="s">
        <v>1571</v>
      </c>
      <c r="B165" s="51" t="n">
        <v>161</v>
      </c>
      <c r="C165" s="52" t="s">
        <v>1572</v>
      </c>
      <c r="D165" s="53" t="s">
        <v>1573</v>
      </c>
      <c r="E165" s="54" t="s">
        <v>1574</v>
      </c>
      <c r="F165" s="54" t="s">
        <v>823</v>
      </c>
      <c r="G165" s="54" t="s">
        <v>1575</v>
      </c>
      <c r="H165" s="54" t="s">
        <v>1576</v>
      </c>
      <c r="I165" s="53" t="s">
        <v>1577</v>
      </c>
      <c r="J165" s="54" t="s">
        <v>1578</v>
      </c>
      <c r="K165" s="53" t="s">
        <v>1579</v>
      </c>
      <c r="L165" s="61" t="s">
        <v>10</v>
      </c>
      <c r="M165" s="62" t="n">
        <v>2</v>
      </c>
      <c r="N165" s="63" t="s">
        <v>1029</v>
      </c>
      <c r="O165" s="51" t="s">
        <v>95</v>
      </c>
      <c r="P165" s="54"/>
      <c r="Q165" s="54" t="s">
        <v>516</v>
      </c>
      <c r="R165" s="58" t="s">
        <v>517</v>
      </c>
      <c r="S165" s="54" t="s">
        <v>98</v>
      </c>
    </row>
    <row r="166" customFormat="false" ht="46.25" hidden="false" customHeight="false" outlineLevel="0" collapsed="false">
      <c r="A166" s="51" t="s">
        <v>1580</v>
      </c>
      <c r="B166" s="51" t="n">
        <v>162</v>
      </c>
      <c r="C166" s="52" t="s">
        <v>1581</v>
      </c>
      <c r="D166" s="53" t="s">
        <v>1582</v>
      </c>
      <c r="E166" s="54" t="s">
        <v>1583</v>
      </c>
      <c r="F166" s="54" t="s">
        <v>1157</v>
      </c>
      <c r="G166" s="54" t="s">
        <v>1584</v>
      </c>
      <c r="H166" s="54" t="s">
        <v>1585</v>
      </c>
      <c r="I166" s="53" t="s">
        <v>1586</v>
      </c>
      <c r="J166" s="54" t="s">
        <v>1587</v>
      </c>
      <c r="K166" s="53" t="s">
        <v>1588</v>
      </c>
      <c r="L166" s="61" t="s">
        <v>10</v>
      </c>
      <c r="M166" s="62" t="n">
        <v>2</v>
      </c>
      <c r="N166" s="63" t="s">
        <v>1029</v>
      </c>
      <c r="O166" s="51" t="s">
        <v>95</v>
      </c>
      <c r="P166" s="54"/>
      <c r="Q166" s="54" t="s">
        <v>131</v>
      </c>
      <c r="R166" s="58" t="s">
        <v>132</v>
      </c>
      <c r="S166" s="54" t="s">
        <v>1589</v>
      </c>
    </row>
    <row r="167" customFormat="false" ht="35.05" hidden="false" customHeight="false" outlineLevel="0" collapsed="false">
      <c r="A167" s="51" t="s">
        <v>1590</v>
      </c>
      <c r="B167" s="51" t="n">
        <v>163</v>
      </c>
      <c r="C167" s="52" t="s">
        <v>1591</v>
      </c>
      <c r="D167" s="53" t="s">
        <v>1592</v>
      </c>
      <c r="E167" s="54" t="s">
        <v>1593</v>
      </c>
      <c r="F167" s="54" t="s">
        <v>1120</v>
      </c>
      <c r="G167" s="54" t="s">
        <v>1594</v>
      </c>
      <c r="H167" s="54" t="s">
        <v>1595</v>
      </c>
      <c r="I167" s="53" t="s">
        <v>1596</v>
      </c>
      <c r="J167" s="54" t="s">
        <v>1597</v>
      </c>
      <c r="K167" s="53" t="s">
        <v>1598</v>
      </c>
      <c r="L167" s="61" t="s">
        <v>10</v>
      </c>
      <c r="M167" s="62" t="n">
        <v>2</v>
      </c>
      <c r="N167" s="63" t="s">
        <v>1029</v>
      </c>
      <c r="O167" s="51" t="s">
        <v>95</v>
      </c>
      <c r="P167" s="54"/>
      <c r="Q167" s="54" t="s">
        <v>131</v>
      </c>
      <c r="R167" s="58" t="s">
        <v>132</v>
      </c>
      <c r="S167" s="54" t="s">
        <v>98</v>
      </c>
    </row>
    <row r="168" customFormat="false" ht="35.05" hidden="false" customHeight="false" outlineLevel="0" collapsed="false">
      <c r="A168" s="51" t="s">
        <v>1599</v>
      </c>
      <c r="B168" s="51" t="n">
        <v>164</v>
      </c>
      <c r="C168" s="52" t="s">
        <v>1600</v>
      </c>
      <c r="D168" s="53" t="s">
        <v>1601</v>
      </c>
      <c r="E168" s="54" t="s">
        <v>1602</v>
      </c>
      <c r="F168" s="54" t="s">
        <v>823</v>
      </c>
      <c r="G168" s="54" t="s">
        <v>1603</v>
      </c>
      <c r="H168" s="54" t="s">
        <v>1604</v>
      </c>
      <c r="I168" s="53" t="s">
        <v>1605</v>
      </c>
      <c r="J168" s="54" t="s">
        <v>1606</v>
      </c>
      <c r="K168" s="53" t="s">
        <v>1607</v>
      </c>
      <c r="L168" s="61" t="s">
        <v>10</v>
      </c>
      <c r="M168" s="62" t="n">
        <v>2</v>
      </c>
      <c r="N168" s="63" t="s">
        <v>1029</v>
      </c>
      <c r="O168" s="51" t="s">
        <v>95</v>
      </c>
      <c r="P168" s="54"/>
      <c r="Q168" s="54" t="s">
        <v>131</v>
      </c>
      <c r="R168" s="58" t="s">
        <v>132</v>
      </c>
      <c r="S168" s="54" t="s">
        <v>98</v>
      </c>
    </row>
    <row r="169" customFormat="false" ht="35.05" hidden="false" customHeight="false" outlineLevel="0" collapsed="false">
      <c r="A169" s="51" t="s">
        <v>1608</v>
      </c>
      <c r="B169" s="51" t="n">
        <v>165</v>
      </c>
      <c r="C169" s="52" t="s">
        <v>1609</v>
      </c>
      <c r="D169" s="53" t="s">
        <v>1610</v>
      </c>
      <c r="E169" s="54" t="s">
        <v>1611</v>
      </c>
      <c r="F169" s="54" t="s">
        <v>1120</v>
      </c>
      <c r="G169" s="54" t="s">
        <v>1612</v>
      </c>
      <c r="H169" s="54" t="s">
        <v>1613</v>
      </c>
      <c r="I169" s="53" t="s">
        <v>1614</v>
      </c>
      <c r="J169" s="54" t="s">
        <v>1615</v>
      </c>
      <c r="K169" s="53" t="s">
        <v>1616</v>
      </c>
      <c r="L169" s="61" t="s">
        <v>10</v>
      </c>
      <c r="M169" s="62" t="n">
        <v>2</v>
      </c>
      <c r="N169" s="63" t="s">
        <v>1029</v>
      </c>
      <c r="O169" s="51" t="s">
        <v>95</v>
      </c>
      <c r="P169" s="54"/>
      <c r="Q169" s="54" t="s">
        <v>131</v>
      </c>
      <c r="R169" s="58" t="s">
        <v>132</v>
      </c>
      <c r="S169" s="54" t="s">
        <v>98</v>
      </c>
    </row>
    <row r="170" customFormat="false" ht="35.05" hidden="false" customHeight="false" outlineLevel="0" collapsed="false">
      <c r="A170" s="51" t="s">
        <v>1617</v>
      </c>
      <c r="B170" s="51" t="n">
        <v>166</v>
      </c>
      <c r="C170" s="52" t="s">
        <v>1618</v>
      </c>
      <c r="D170" s="53" t="s">
        <v>1619</v>
      </c>
      <c r="E170" s="54" t="s">
        <v>1620</v>
      </c>
      <c r="F170" s="54" t="s">
        <v>88</v>
      </c>
      <c r="G170" s="54" t="s">
        <v>1621</v>
      </c>
      <c r="H170" s="54" t="s">
        <v>1622</v>
      </c>
      <c r="I170" s="53" t="s">
        <v>1623</v>
      </c>
      <c r="J170" s="54" t="s">
        <v>1624</v>
      </c>
      <c r="K170" s="53" t="s">
        <v>1625</v>
      </c>
      <c r="L170" s="61" t="s">
        <v>10</v>
      </c>
      <c r="M170" s="62" t="n">
        <v>2</v>
      </c>
      <c r="N170" s="63" t="s">
        <v>1029</v>
      </c>
      <c r="O170" s="51" t="s">
        <v>95</v>
      </c>
      <c r="P170" s="54"/>
      <c r="Q170" s="54" t="s">
        <v>131</v>
      </c>
      <c r="R170" s="58" t="s">
        <v>132</v>
      </c>
      <c r="S170" s="54" t="s">
        <v>98</v>
      </c>
    </row>
    <row r="171" customFormat="false" ht="35.05" hidden="false" customHeight="false" outlineLevel="0" collapsed="false">
      <c r="A171" s="51" t="s">
        <v>1626</v>
      </c>
      <c r="B171" s="51" t="n">
        <v>167</v>
      </c>
      <c r="C171" s="52" t="s">
        <v>1627</v>
      </c>
      <c r="D171" s="53" t="s">
        <v>1628</v>
      </c>
      <c r="E171" s="54" t="s">
        <v>1629</v>
      </c>
      <c r="F171" s="54" t="s">
        <v>823</v>
      </c>
      <c r="G171" s="54" t="s">
        <v>1630</v>
      </c>
      <c r="H171" s="54" t="s">
        <v>1631</v>
      </c>
      <c r="I171" s="53" t="s">
        <v>1632</v>
      </c>
      <c r="J171" s="54" t="s">
        <v>1633</v>
      </c>
      <c r="K171" s="53" t="s">
        <v>1634</v>
      </c>
      <c r="L171" s="61" t="s">
        <v>10</v>
      </c>
      <c r="M171" s="62" t="n">
        <v>2</v>
      </c>
      <c r="N171" s="63" t="s">
        <v>1029</v>
      </c>
      <c r="O171" s="51" t="s">
        <v>95</v>
      </c>
      <c r="P171" s="54"/>
      <c r="Q171" s="54" t="s">
        <v>516</v>
      </c>
      <c r="R171" s="58" t="s">
        <v>517</v>
      </c>
      <c r="S171" s="54" t="s">
        <v>98</v>
      </c>
    </row>
    <row r="172" customFormat="false" ht="35.05" hidden="false" customHeight="false" outlineLevel="0" collapsed="false">
      <c r="A172" s="51" t="s">
        <v>1635</v>
      </c>
      <c r="B172" s="51" t="n">
        <v>168</v>
      </c>
      <c r="C172" s="52" t="s">
        <v>1636</v>
      </c>
      <c r="D172" s="53" t="s">
        <v>1637</v>
      </c>
      <c r="E172" s="54" t="s">
        <v>1638</v>
      </c>
      <c r="F172" s="54" t="s">
        <v>1157</v>
      </c>
      <c r="G172" s="54" t="s">
        <v>1639</v>
      </c>
      <c r="H172" s="54" t="s">
        <v>1640</v>
      </c>
      <c r="I172" s="53" t="s">
        <v>1641</v>
      </c>
      <c r="J172" s="54" t="s">
        <v>1642</v>
      </c>
      <c r="K172" s="53" t="s">
        <v>1643</v>
      </c>
      <c r="L172" s="61" t="s">
        <v>10</v>
      </c>
      <c r="M172" s="62" t="n">
        <v>2</v>
      </c>
      <c r="N172" s="63" t="s">
        <v>1029</v>
      </c>
      <c r="O172" s="51" t="s">
        <v>95</v>
      </c>
      <c r="P172" s="54"/>
      <c r="Q172" s="54" t="s">
        <v>131</v>
      </c>
      <c r="R172" s="58" t="s">
        <v>132</v>
      </c>
      <c r="S172" s="54" t="s">
        <v>98</v>
      </c>
    </row>
    <row r="173" customFormat="false" ht="35.05" hidden="false" customHeight="false" outlineLevel="0" collapsed="false">
      <c r="A173" s="51" t="s">
        <v>1644</v>
      </c>
      <c r="B173" s="51" t="n">
        <v>169</v>
      </c>
      <c r="C173" s="52" t="s">
        <v>1645</v>
      </c>
      <c r="D173" s="53" t="s">
        <v>1646</v>
      </c>
      <c r="E173" s="54" t="s">
        <v>1647</v>
      </c>
      <c r="F173" s="54" t="s">
        <v>823</v>
      </c>
      <c r="G173" s="54" t="s">
        <v>1648</v>
      </c>
      <c r="H173" s="54" t="s">
        <v>1649</v>
      </c>
      <c r="I173" s="53" t="s">
        <v>1650</v>
      </c>
      <c r="J173" s="54" t="s">
        <v>1651</v>
      </c>
      <c r="K173" s="53" t="s">
        <v>1652</v>
      </c>
      <c r="L173" s="61" t="s">
        <v>10</v>
      </c>
      <c r="M173" s="62" t="n">
        <v>2</v>
      </c>
      <c r="N173" s="63" t="s">
        <v>1029</v>
      </c>
      <c r="O173" s="51" t="s">
        <v>95</v>
      </c>
      <c r="P173" s="54"/>
      <c r="Q173" s="54" t="s">
        <v>131</v>
      </c>
      <c r="R173" s="58" t="s">
        <v>132</v>
      </c>
      <c r="S173" s="54" t="s">
        <v>98</v>
      </c>
    </row>
    <row r="174" customFormat="false" ht="35.05" hidden="false" customHeight="false" outlineLevel="0" collapsed="false">
      <c r="A174" s="51" t="s">
        <v>1653</v>
      </c>
      <c r="B174" s="51" t="n">
        <v>170</v>
      </c>
      <c r="C174" s="52" t="s">
        <v>1654</v>
      </c>
      <c r="D174" s="53" t="s">
        <v>1655</v>
      </c>
      <c r="E174" s="54" t="s">
        <v>1656</v>
      </c>
      <c r="F174" s="54" t="s">
        <v>88</v>
      </c>
      <c r="G174" s="54" t="s">
        <v>1657</v>
      </c>
      <c r="H174" s="54" t="s">
        <v>1658</v>
      </c>
      <c r="I174" s="53" t="s">
        <v>1659</v>
      </c>
      <c r="J174" s="54" t="s">
        <v>1660</v>
      </c>
      <c r="K174" s="53" t="s">
        <v>1661</v>
      </c>
      <c r="L174" s="61" t="s">
        <v>10</v>
      </c>
      <c r="M174" s="62" t="n">
        <v>2</v>
      </c>
      <c r="N174" s="63" t="s">
        <v>1029</v>
      </c>
      <c r="O174" s="51" t="s">
        <v>95</v>
      </c>
      <c r="P174" s="54"/>
      <c r="Q174" s="54" t="s">
        <v>131</v>
      </c>
      <c r="R174" s="58" t="s">
        <v>132</v>
      </c>
      <c r="S174" s="54" t="s">
        <v>98</v>
      </c>
    </row>
    <row r="175" customFormat="false" ht="35.05" hidden="false" customHeight="false" outlineLevel="0" collapsed="false">
      <c r="A175" s="51" t="s">
        <v>1662</v>
      </c>
      <c r="B175" s="51" t="n">
        <v>171</v>
      </c>
      <c r="C175" s="52" t="s">
        <v>1663</v>
      </c>
      <c r="D175" s="53" t="s">
        <v>1664</v>
      </c>
      <c r="E175" s="54" t="s">
        <v>1665</v>
      </c>
      <c r="F175" s="54" t="s">
        <v>1157</v>
      </c>
      <c r="G175" s="54" t="s">
        <v>1666</v>
      </c>
      <c r="H175" s="54" t="s">
        <v>1667</v>
      </c>
      <c r="I175" s="53" t="s">
        <v>1668</v>
      </c>
      <c r="J175" s="54" t="s">
        <v>1669</v>
      </c>
      <c r="K175" s="53" t="s">
        <v>1670</v>
      </c>
      <c r="L175" s="61" t="s">
        <v>10</v>
      </c>
      <c r="M175" s="62" t="n">
        <v>2</v>
      </c>
      <c r="N175" s="63" t="s">
        <v>1029</v>
      </c>
      <c r="O175" s="51" t="s">
        <v>95</v>
      </c>
      <c r="P175" s="54"/>
      <c r="Q175" s="54" t="s">
        <v>131</v>
      </c>
      <c r="R175" s="58" t="s">
        <v>132</v>
      </c>
      <c r="S175" s="54" t="s">
        <v>98</v>
      </c>
    </row>
    <row r="176" customFormat="false" ht="35.05" hidden="false" customHeight="false" outlineLevel="0" collapsed="false">
      <c r="A176" s="51" t="s">
        <v>1671</v>
      </c>
      <c r="B176" s="51" t="n">
        <v>172</v>
      </c>
      <c r="C176" s="52" t="s">
        <v>1672</v>
      </c>
      <c r="D176" s="53" t="s">
        <v>1673</v>
      </c>
      <c r="E176" s="54" t="s">
        <v>1674</v>
      </c>
      <c r="F176" s="54" t="s">
        <v>1157</v>
      </c>
      <c r="G176" s="54" t="s">
        <v>1675</v>
      </c>
      <c r="H176" s="54" t="s">
        <v>1676</v>
      </c>
      <c r="I176" s="53" t="s">
        <v>1677</v>
      </c>
      <c r="J176" s="54" t="s">
        <v>1678</v>
      </c>
      <c r="K176" s="53" t="s">
        <v>1679</v>
      </c>
      <c r="L176" s="61" t="s">
        <v>10</v>
      </c>
      <c r="M176" s="62" t="n">
        <v>2</v>
      </c>
      <c r="N176" s="63" t="s">
        <v>1029</v>
      </c>
      <c r="O176" s="51" t="s">
        <v>95</v>
      </c>
      <c r="P176" s="54"/>
      <c r="Q176" s="54" t="s">
        <v>131</v>
      </c>
      <c r="R176" s="58" t="s">
        <v>132</v>
      </c>
      <c r="S176" s="54" t="s">
        <v>98</v>
      </c>
    </row>
    <row r="177" customFormat="false" ht="35.05" hidden="false" customHeight="false" outlineLevel="0" collapsed="false">
      <c r="A177" s="51" t="s">
        <v>1680</v>
      </c>
      <c r="B177" s="51" t="n">
        <v>173</v>
      </c>
      <c r="C177" s="52" t="s">
        <v>1681</v>
      </c>
      <c r="D177" s="53" t="s">
        <v>1682</v>
      </c>
      <c r="E177" s="54" t="s">
        <v>1683</v>
      </c>
      <c r="F177" s="54" t="s">
        <v>823</v>
      </c>
      <c r="G177" s="54" t="s">
        <v>1684</v>
      </c>
      <c r="H177" s="54" t="s">
        <v>1685</v>
      </c>
      <c r="I177" s="53" t="s">
        <v>1686</v>
      </c>
      <c r="J177" s="54" t="s">
        <v>1687</v>
      </c>
      <c r="K177" s="53" t="s">
        <v>1688</v>
      </c>
      <c r="L177" s="61" t="s">
        <v>10</v>
      </c>
      <c r="M177" s="62" t="n">
        <v>2</v>
      </c>
      <c r="N177" s="63" t="s">
        <v>1029</v>
      </c>
      <c r="O177" s="51" t="s">
        <v>95</v>
      </c>
      <c r="P177" s="54"/>
      <c r="Q177" s="54" t="s">
        <v>516</v>
      </c>
      <c r="R177" s="58" t="s">
        <v>517</v>
      </c>
      <c r="S177" s="54" t="s">
        <v>98</v>
      </c>
    </row>
    <row r="178" customFormat="false" ht="35.05" hidden="false" customHeight="false" outlineLevel="0" collapsed="false">
      <c r="A178" s="51" t="s">
        <v>1689</v>
      </c>
      <c r="B178" s="51" t="n">
        <v>174</v>
      </c>
      <c r="C178" s="52" t="s">
        <v>1690</v>
      </c>
      <c r="D178" s="53" t="s">
        <v>1691</v>
      </c>
      <c r="E178" s="54" t="s">
        <v>1692</v>
      </c>
      <c r="F178" s="54" t="s">
        <v>88</v>
      </c>
      <c r="G178" s="54" t="s">
        <v>1693</v>
      </c>
      <c r="H178" s="54" t="s">
        <v>1694</v>
      </c>
      <c r="I178" s="53" t="s">
        <v>1695</v>
      </c>
      <c r="J178" s="54" t="s">
        <v>1696</v>
      </c>
      <c r="K178" s="53" t="s">
        <v>1697</v>
      </c>
      <c r="L178" s="61" t="s">
        <v>10</v>
      </c>
      <c r="M178" s="62" t="n">
        <v>2</v>
      </c>
      <c r="N178" s="63" t="s">
        <v>1029</v>
      </c>
      <c r="O178" s="59" t="s">
        <v>161</v>
      </c>
      <c r="P178" s="54" t="s">
        <v>1416</v>
      </c>
      <c r="Q178" s="54" t="s">
        <v>131</v>
      </c>
      <c r="R178" s="58" t="s">
        <v>132</v>
      </c>
      <c r="S178" s="54" t="s">
        <v>98</v>
      </c>
    </row>
    <row r="179" customFormat="false" ht="35.05" hidden="false" customHeight="false" outlineLevel="0" collapsed="false">
      <c r="A179" s="51" t="s">
        <v>1698</v>
      </c>
      <c r="B179" s="51" t="n">
        <v>175</v>
      </c>
      <c r="C179" s="52" t="s">
        <v>1699</v>
      </c>
      <c r="D179" s="53" t="s">
        <v>1700</v>
      </c>
      <c r="E179" s="54" t="s">
        <v>1701</v>
      </c>
      <c r="F179" s="54" t="s">
        <v>823</v>
      </c>
      <c r="G179" s="54" t="s">
        <v>1702</v>
      </c>
      <c r="H179" s="54" t="s">
        <v>1703</v>
      </c>
      <c r="I179" s="53" t="s">
        <v>1704</v>
      </c>
      <c r="J179" s="54" t="s">
        <v>1705</v>
      </c>
      <c r="K179" s="53" t="s">
        <v>1706</v>
      </c>
      <c r="L179" s="61" t="s">
        <v>10</v>
      </c>
      <c r="M179" s="62" t="n">
        <v>2</v>
      </c>
      <c r="N179" s="63" t="s">
        <v>1029</v>
      </c>
      <c r="O179" s="51" t="s">
        <v>95</v>
      </c>
      <c r="P179" s="54"/>
      <c r="Q179" s="54" t="s">
        <v>516</v>
      </c>
      <c r="R179" s="58" t="s">
        <v>517</v>
      </c>
      <c r="S179" s="54" t="s">
        <v>98</v>
      </c>
    </row>
    <row r="180" customFormat="false" ht="35.05" hidden="false" customHeight="false" outlineLevel="0" collapsed="false">
      <c r="A180" s="51" t="s">
        <v>1707</v>
      </c>
      <c r="B180" s="51" t="n">
        <v>176</v>
      </c>
      <c r="C180" s="52" t="s">
        <v>1708</v>
      </c>
      <c r="D180" s="53" t="s">
        <v>1709</v>
      </c>
      <c r="E180" s="54" t="s">
        <v>1710</v>
      </c>
      <c r="F180" s="54" t="s">
        <v>115</v>
      </c>
      <c r="G180" s="54" t="s">
        <v>1711</v>
      </c>
      <c r="H180" s="54" t="s">
        <v>1712</v>
      </c>
      <c r="I180" s="53" t="s">
        <v>1713</v>
      </c>
      <c r="J180" s="54" t="s">
        <v>1714</v>
      </c>
      <c r="K180" s="53" t="s">
        <v>1715</v>
      </c>
      <c r="L180" s="61" t="s">
        <v>10</v>
      </c>
      <c r="M180" s="62" t="n">
        <v>2</v>
      </c>
      <c r="N180" s="63" t="s">
        <v>1029</v>
      </c>
      <c r="O180" s="51" t="s">
        <v>95</v>
      </c>
      <c r="P180" s="54"/>
      <c r="Q180" s="54" t="s">
        <v>131</v>
      </c>
      <c r="R180" s="58" t="s">
        <v>132</v>
      </c>
      <c r="S180" s="54" t="s">
        <v>98</v>
      </c>
    </row>
    <row r="181" customFormat="false" ht="35.05" hidden="false" customHeight="false" outlineLevel="0" collapsed="false">
      <c r="A181" s="51" t="s">
        <v>1716</v>
      </c>
      <c r="B181" s="51" t="n">
        <v>177</v>
      </c>
      <c r="C181" s="52" t="s">
        <v>1717</v>
      </c>
      <c r="D181" s="53" t="s">
        <v>1718</v>
      </c>
      <c r="E181" s="54" t="s">
        <v>1719</v>
      </c>
      <c r="F181" s="54" t="s">
        <v>289</v>
      </c>
      <c r="G181" s="54" t="s">
        <v>1720</v>
      </c>
      <c r="H181" s="54" t="s">
        <v>1721</v>
      </c>
      <c r="I181" s="53" t="s">
        <v>1722</v>
      </c>
      <c r="J181" s="54" t="s">
        <v>1723</v>
      </c>
      <c r="K181" s="53" t="s">
        <v>1724</v>
      </c>
      <c r="L181" s="61" t="s">
        <v>10</v>
      </c>
      <c r="M181" s="62" t="n">
        <v>2</v>
      </c>
      <c r="N181" s="63" t="s">
        <v>1029</v>
      </c>
      <c r="O181" s="51" t="s">
        <v>95</v>
      </c>
      <c r="P181" s="54"/>
      <c r="Q181" s="54" t="s">
        <v>131</v>
      </c>
      <c r="R181" s="58" t="s">
        <v>132</v>
      </c>
      <c r="S181" s="54" t="s">
        <v>98</v>
      </c>
    </row>
    <row r="182" customFormat="false" ht="35.05" hidden="false" customHeight="false" outlineLevel="0" collapsed="false">
      <c r="A182" s="51" t="s">
        <v>1725</v>
      </c>
      <c r="B182" s="51" t="n">
        <v>178</v>
      </c>
      <c r="C182" s="52" t="s">
        <v>1726</v>
      </c>
      <c r="D182" s="53" t="s">
        <v>1727</v>
      </c>
      <c r="E182" s="54" t="s">
        <v>1728</v>
      </c>
      <c r="F182" s="54" t="s">
        <v>1157</v>
      </c>
      <c r="G182" s="54" t="s">
        <v>1729</v>
      </c>
      <c r="H182" s="54" t="s">
        <v>1730</v>
      </c>
      <c r="I182" s="53" t="s">
        <v>1731</v>
      </c>
      <c r="J182" s="54" t="s">
        <v>1732</v>
      </c>
      <c r="K182" s="53" t="s">
        <v>1733</v>
      </c>
      <c r="L182" s="61" t="s">
        <v>10</v>
      </c>
      <c r="M182" s="62" t="n">
        <v>2</v>
      </c>
      <c r="N182" s="63" t="s">
        <v>1029</v>
      </c>
      <c r="O182" s="51" t="s">
        <v>95</v>
      </c>
      <c r="P182" s="54"/>
      <c r="Q182" s="54" t="s">
        <v>131</v>
      </c>
      <c r="R182" s="58" t="s">
        <v>132</v>
      </c>
      <c r="S182" s="54" t="s">
        <v>98</v>
      </c>
    </row>
    <row r="183" customFormat="false" ht="35.05" hidden="false" customHeight="false" outlineLevel="0" collapsed="false">
      <c r="A183" s="51" t="s">
        <v>1734</v>
      </c>
      <c r="B183" s="51" t="n">
        <v>179</v>
      </c>
      <c r="C183" s="52" t="s">
        <v>1735</v>
      </c>
      <c r="D183" s="53" t="s">
        <v>1736</v>
      </c>
      <c r="E183" s="54" t="s">
        <v>1737</v>
      </c>
      <c r="F183" s="54" t="s">
        <v>1120</v>
      </c>
      <c r="G183" s="54" t="s">
        <v>1738</v>
      </c>
      <c r="H183" s="54" t="s">
        <v>1739</v>
      </c>
      <c r="I183" s="53" t="s">
        <v>1740</v>
      </c>
      <c r="J183" s="54" t="s">
        <v>1741</v>
      </c>
      <c r="K183" s="53" t="s">
        <v>1742</v>
      </c>
      <c r="L183" s="61" t="s">
        <v>10</v>
      </c>
      <c r="M183" s="62" t="n">
        <v>2</v>
      </c>
      <c r="N183" s="63" t="s">
        <v>1029</v>
      </c>
      <c r="O183" s="51" t="s">
        <v>95</v>
      </c>
      <c r="P183" s="54"/>
      <c r="Q183" s="54" t="s">
        <v>131</v>
      </c>
      <c r="R183" s="58" t="s">
        <v>132</v>
      </c>
      <c r="S183" s="54" t="s">
        <v>98</v>
      </c>
    </row>
    <row r="184" customFormat="false" ht="46.25" hidden="false" customHeight="false" outlineLevel="0" collapsed="false">
      <c r="A184" s="51" t="s">
        <v>1743</v>
      </c>
      <c r="B184" s="51" t="n">
        <v>180</v>
      </c>
      <c r="C184" s="52" t="s">
        <v>1744</v>
      </c>
      <c r="D184" s="53" t="s">
        <v>1745</v>
      </c>
      <c r="E184" s="54" t="s">
        <v>1746</v>
      </c>
      <c r="F184" s="54" t="s">
        <v>88</v>
      </c>
      <c r="G184" s="54" t="s">
        <v>1747</v>
      </c>
      <c r="H184" s="54" t="s">
        <v>1748</v>
      </c>
      <c r="I184" s="53" t="s">
        <v>1749</v>
      </c>
      <c r="J184" s="54" t="s">
        <v>1750</v>
      </c>
      <c r="K184" s="53" t="s">
        <v>1751</v>
      </c>
      <c r="L184" s="61" t="s">
        <v>10</v>
      </c>
      <c r="M184" s="62" t="n">
        <v>2</v>
      </c>
      <c r="N184" s="63" t="s">
        <v>1029</v>
      </c>
      <c r="O184" s="59" t="s">
        <v>161</v>
      </c>
      <c r="P184" s="54" t="s">
        <v>1416</v>
      </c>
      <c r="Q184" s="54" t="s">
        <v>621</v>
      </c>
      <c r="R184" s="58" t="s">
        <v>622</v>
      </c>
      <c r="S184" s="54" t="s">
        <v>98</v>
      </c>
    </row>
    <row r="185" customFormat="false" ht="35.05" hidden="false" customHeight="false" outlineLevel="0" collapsed="false">
      <c r="A185" s="51" t="s">
        <v>1752</v>
      </c>
      <c r="B185" s="51" t="n">
        <v>181</v>
      </c>
      <c r="C185" s="52" t="s">
        <v>1753</v>
      </c>
      <c r="D185" s="53" t="s">
        <v>1754</v>
      </c>
      <c r="E185" s="54" t="s">
        <v>1755</v>
      </c>
      <c r="F185" s="54" t="s">
        <v>1157</v>
      </c>
      <c r="G185" s="54" t="s">
        <v>1756</v>
      </c>
      <c r="H185" s="54" t="s">
        <v>1757</v>
      </c>
      <c r="I185" s="53" t="s">
        <v>1758</v>
      </c>
      <c r="J185" s="54" t="s">
        <v>1759</v>
      </c>
      <c r="K185" s="53" t="s">
        <v>1760</v>
      </c>
      <c r="L185" s="61" t="s">
        <v>10</v>
      </c>
      <c r="M185" s="62" t="n">
        <v>2</v>
      </c>
      <c r="N185" s="63" t="s">
        <v>1029</v>
      </c>
      <c r="O185" s="51" t="s">
        <v>95</v>
      </c>
      <c r="P185" s="54"/>
      <c r="Q185" s="54" t="s">
        <v>131</v>
      </c>
      <c r="R185" s="58" t="s">
        <v>132</v>
      </c>
      <c r="S185" s="54" t="s">
        <v>98</v>
      </c>
    </row>
    <row r="186" customFormat="false" ht="35.05" hidden="false" customHeight="false" outlineLevel="0" collapsed="false">
      <c r="A186" s="51" t="s">
        <v>1761</v>
      </c>
      <c r="B186" s="51" t="n">
        <v>182</v>
      </c>
      <c r="C186" s="52" t="s">
        <v>1762</v>
      </c>
      <c r="D186" s="53" t="s">
        <v>1763</v>
      </c>
      <c r="E186" s="54" t="s">
        <v>1764</v>
      </c>
      <c r="F186" s="54" t="s">
        <v>1157</v>
      </c>
      <c r="G186" s="54" t="s">
        <v>1765</v>
      </c>
      <c r="H186" s="54" t="s">
        <v>1766</v>
      </c>
      <c r="I186" s="53" t="s">
        <v>1767</v>
      </c>
      <c r="J186" s="54" t="s">
        <v>1768</v>
      </c>
      <c r="K186" s="53" t="s">
        <v>1769</v>
      </c>
      <c r="L186" s="61" t="s">
        <v>10</v>
      </c>
      <c r="M186" s="62" t="n">
        <v>2</v>
      </c>
      <c r="N186" s="63" t="s">
        <v>1029</v>
      </c>
      <c r="O186" s="59" t="s">
        <v>161</v>
      </c>
      <c r="P186" s="54" t="s">
        <v>1770</v>
      </c>
      <c r="Q186" s="54" t="s">
        <v>131</v>
      </c>
      <c r="R186" s="58" t="s">
        <v>132</v>
      </c>
      <c r="S186" s="54" t="s">
        <v>98</v>
      </c>
    </row>
    <row r="187" customFormat="false" ht="35.05" hidden="false" customHeight="false" outlineLevel="0" collapsed="false">
      <c r="A187" s="51" t="s">
        <v>1771</v>
      </c>
      <c r="B187" s="51" t="n">
        <v>183</v>
      </c>
      <c r="C187" s="52" t="s">
        <v>1772</v>
      </c>
      <c r="D187" s="53" t="s">
        <v>1773</v>
      </c>
      <c r="E187" s="54" t="s">
        <v>1774</v>
      </c>
      <c r="F187" s="54" t="s">
        <v>1120</v>
      </c>
      <c r="G187" s="54" t="s">
        <v>1775</v>
      </c>
      <c r="H187" s="54" t="s">
        <v>1776</v>
      </c>
      <c r="I187" s="53" t="s">
        <v>1777</v>
      </c>
      <c r="J187" s="54" t="s">
        <v>1778</v>
      </c>
      <c r="K187" s="53" t="s">
        <v>1779</v>
      </c>
      <c r="L187" s="61" t="s">
        <v>10</v>
      </c>
      <c r="M187" s="62" t="n">
        <v>2</v>
      </c>
      <c r="N187" s="63" t="s">
        <v>1029</v>
      </c>
      <c r="O187" s="59" t="s">
        <v>161</v>
      </c>
      <c r="P187" s="54" t="s">
        <v>1370</v>
      </c>
      <c r="Q187" s="54" t="s">
        <v>516</v>
      </c>
      <c r="R187" s="58" t="s">
        <v>517</v>
      </c>
      <c r="S187" s="54" t="s">
        <v>98</v>
      </c>
    </row>
    <row r="188" customFormat="false" ht="46.25" hidden="false" customHeight="false" outlineLevel="0" collapsed="false">
      <c r="A188" s="51" t="s">
        <v>1780</v>
      </c>
      <c r="B188" s="51" t="n">
        <v>184</v>
      </c>
      <c r="C188" s="52" t="s">
        <v>1781</v>
      </c>
      <c r="D188" s="53" t="s">
        <v>1782</v>
      </c>
      <c r="E188" s="54" t="s">
        <v>1783</v>
      </c>
      <c r="F188" s="54" t="s">
        <v>88</v>
      </c>
      <c r="G188" s="54" t="s">
        <v>1784</v>
      </c>
      <c r="H188" s="54" t="s">
        <v>1785</v>
      </c>
      <c r="I188" s="53" t="s">
        <v>1786</v>
      </c>
      <c r="J188" s="54" t="s">
        <v>1787</v>
      </c>
      <c r="K188" s="53" t="s">
        <v>1788</v>
      </c>
      <c r="L188" s="61" t="s">
        <v>10</v>
      </c>
      <c r="M188" s="62" t="n">
        <v>2</v>
      </c>
      <c r="N188" s="63" t="s">
        <v>1029</v>
      </c>
      <c r="O188" s="59" t="s">
        <v>161</v>
      </c>
      <c r="P188" s="54" t="s">
        <v>1789</v>
      </c>
      <c r="Q188" s="54" t="s">
        <v>621</v>
      </c>
      <c r="R188" s="58" t="s">
        <v>622</v>
      </c>
      <c r="S188" s="54" t="s">
        <v>98</v>
      </c>
    </row>
    <row r="189" customFormat="false" ht="35.05" hidden="false" customHeight="false" outlineLevel="0" collapsed="false">
      <c r="A189" s="51" t="s">
        <v>1790</v>
      </c>
      <c r="B189" s="51" t="n">
        <v>185</v>
      </c>
      <c r="C189" s="52" t="s">
        <v>1791</v>
      </c>
      <c r="D189" s="53" t="s">
        <v>1792</v>
      </c>
      <c r="E189" s="54" t="s">
        <v>1793</v>
      </c>
      <c r="F189" s="54" t="s">
        <v>1120</v>
      </c>
      <c r="G189" s="54" t="s">
        <v>1794</v>
      </c>
      <c r="H189" s="54" t="s">
        <v>1795</v>
      </c>
      <c r="I189" s="53" t="s">
        <v>1796</v>
      </c>
      <c r="J189" s="54" t="s">
        <v>1797</v>
      </c>
      <c r="K189" s="53" t="s">
        <v>1798</v>
      </c>
      <c r="L189" s="61" t="s">
        <v>10</v>
      </c>
      <c r="M189" s="62" t="n">
        <v>2</v>
      </c>
      <c r="N189" s="63" t="s">
        <v>1029</v>
      </c>
      <c r="O189" s="51" t="s">
        <v>95</v>
      </c>
      <c r="P189" s="54"/>
      <c r="Q189" s="54" t="s">
        <v>131</v>
      </c>
      <c r="R189" s="58" t="s">
        <v>132</v>
      </c>
      <c r="S189" s="54" t="s">
        <v>98</v>
      </c>
    </row>
    <row r="190" customFormat="false" ht="35.05" hidden="false" customHeight="false" outlineLevel="0" collapsed="false">
      <c r="A190" s="51" t="s">
        <v>1799</v>
      </c>
      <c r="B190" s="51" t="n">
        <v>186</v>
      </c>
      <c r="C190" s="52" t="s">
        <v>1800</v>
      </c>
      <c r="D190" s="53" t="s">
        <v>1801</v>
      </c>
      <c r="E190" s="54" t="s">
        <v>1802</v>
      </c>
      <c r="F190" s="54" t="s">
        <v>88</v>
      </c>
      <c r="G190" s="54" t="s">
        <v>1803</v>
      </c>
      <c r="H190" s="54" t="s">
        <v>1804</v>
      </c>
      <c r="I190" s="53" t="s">
        <v>1805</v>
      </c>
      <c r="J190" s="54" t="s">
        <v>1806</v>
      </c>
      <c r="K190" s="53" t="s">
        <v>1807</v>
      </c>
      <c r="L190" s="61" t="s">
        <v>10</v>
      </c>
      <c r="M190" s="62" t="n">
        <v>2</v>
      </c>
      <c r="N190" s="63" t="s">
        <v>1029</v>
      </c>
      <c r="O190" s="51" t="s">
        <v>95</v>
      </c>
      <c r="P190" s="54"/>
      <c r="Q190" s="54" t="s">
        <v>131</v>
      </c>
      <c r="R190" s="58" t="s">
        <v>132</v>
      </c>
      <c r="S190" s="54" t="s">
        <v>98</v>
      </c>
    </row>
    <row r="191" customFormat="false" ht="35.05" hidden="false" customHeight="false" outlineLevel="0" collapsed="false">
      <c r="A191" s="51" t="s">
        <v>1808</v>
      </c>
      <c r="B191" s="51" t="n">
        <v>187</v>
      </c>
      <c r="C191" s="52" t="s">
        <v>1809</v>
      </c>
      <c r="D191" s="53" t="s">
        <v>1810</v>
      </c>
      <c r="E191" s="54" t="s">
        <v>1811</v>
      </c>
      <c r="F191" s="54" t="s">
        <v>1157</v>
      </c>
      <c r="G191" s="54" t="s">
        <v>1812</v>
      </c>
      <c r="H191" s="54" t="s">
        <v>1813</v>
      </c>
      <c r="I191" s="53" t="s">
        <v>1814</v>
      </c>
      <c r="J191" s="54" t="s">
        <v>1815</v>
      </c>
      <c r="K191" s="53" t="s">
        <v>1816</v>
      </c>
      <c r="L191" s="61" t="s">
        <v>10</v>
      </c>
      <c r="M191" s="62" t="n">
        <v>2</v>
      </c>
      <c r="N191" s="63" t="s">
        <v>1029</v>
      </c>
      <c r="O191" s="51" t="s">
        <v>95</v>
      </c>
      <c r="P191" s="54"/>
      <c r="Q191" s="54" t="s">
        <v>131</v>
      </c>
      <c r="R191" s="58" t="s">
        <v>132</v>
      </c>
      <c r="S191" s="54" t="s">
        <v>98</v>
      </c>
    </row>
    <row r="192" customFormat="false" ht="35.05" hidden="false" customHeight="false" outlineLevel="0" collapsed="false">
      <c r="A192" s="51" t="s">
        <v>1817</v>
      </c>
      <c r="B192" s="51" t="n">
        <v>188</v>
      </c>
      <c r="C192" s="52" t="s">
        <v>1818</v>
      </c>
      <c r="D192" s="53" t="s">
        <v>1819</v>
      </c>
      <c r="E192" s="54" t="s">
        <v>1820</v>
      </c>
      <c r="F192" s="54" t="s">
        <v>1157</v>
      </c>
      <c r="G192" s="54" t="s">
        <v>1821</v>
      </c>
      <c r="H192" s="54" t="s">
        <v>1822</v>
      </c>
      <c r="I192" s="53" t="s">
        <v>1823</v>
      </c>
      <c r="J192" s="54" t="s">
        <v>1824</v>
      </c>
      <c r="K192" s="53" t="s">
        <v>1825</v>
      </c>
      <c r="L192" s="61" t="s">
        <v>10</v>
      </c>
      <c r="M192" s="62" t="n">
        <v>2</v>
      </c>
      <c r="N192" s="63" t="s">
        <v>1029</v>
      </c>
      <c r="O192" s="51" t="s">
        <v>95</v>
      </c>
      <c r="P192" s="54"/>
      <c r="Q192" s="54" t="s">
        <v>131</v>
      </c>
      <c r="R192" s="58" t="s">
        <v>132</v>
      </c>
      <c r="S192" s="54" t="s">
        <v>98</v>
      </c>
    </row>
    <row r="193" customFormat="false" ht="35.05" hidden="false" customHeight="false" outlineLevel="0" collapsed="false">
      <c r="A193" s="51" t="s">
        <v>1826</v>
      </c>
      <c r="B193" s="51" t="n">
        <v>189</v>
      </c>
      <c r="C193" s="52" t="s">
        <v>1827</v>
      </c>
      <c r="D193" s="53" t="s">
        <v>1828</v>
      </c>
      <c r="E193" s="54" t="s">
        <v>1829</v>
      </c>
      <c r="F193" s="54" t="s">
        <v>289</v>
      </c>
      <c r="G193" s="54" t="s">
        <v>1830</v>
      </c>
      <c r="H193" s="54" t="s">
        <v>1831</v>
      </c>
      <c r="I193" s="53" t="s">
        <v>1832</v>
      </c>
      <c r="J193" s="54" t="s">
        <v>1833</v>
      </c>
      <c r="K193" s="53" t="s">
        <v>1834</v>
      </c>
      <c r="L193" s="61" t="s">
        <v>10</v>
      </c>
      <c r="M193" s="62" t="n">
        <v>2</v>
      </c>
      <c r="N193" s="63" t="s">
        <v>1029</v>
      </c>
      <c r="O193" s="51" t="s">
        <v>95</v>
      </c>
      <c r="P193" s="54"/>
      <c r="Q193" s="54" t="s">
        <v>131</v>
      </c>
      <c r="R193" s="58" t="s">
        <v>132</v>
      </c>
      <c r="S193" s="54" t="s">
        <v>98</v>
      </c>
    </row>
    <row r="194" customFormat="false" ht="35.05" hidden="false" customHeight="false" outlineLevel="0" collapsed="false">
      <c r="A194" s="51" t="s">
        <v>1835</v>
      </c>
      <c r="B194" s="51" t="n">
        <v>190</v>
      </c>
      <c r="C194" s="52" t="s">
        <v>1836</v>
      </c>
      <c r="D194" s="53" t="s">
        <v>1837</v>
      </c>
      <c r="E194" s="54" t="s">
        <v>1838</v>
      </c>
      <c r="F194" s="54" t="s">
        <v>289</v>
      </c>
      <c r="G194" s="54" t="s">
        <v>1839</v>
      </c>
      <c r="H194" s="54" t="s">
        <v>1840</v>
      </c>
      <c r="I194" s="53" t="s">
        <v>1841</v>
      </c>
      <c r="J194" s="54" t="s">
        <v>1842</v>
      </c>
      <c r="K194" s="53" t="s">
        <v>1843</v>
      </c>
      <c r="L194" s="61" t="s">
        <v>10</v>
      </c>
      <c r="M194" s="62" t="n">
        <v>2</v>
      </c>
      <c r="N194" s="63" t="s">
        <v>1029</v>
      </c>
      <c r="O194" s="59" t="s">
        <v>161</v>
      </c>
      <c r="P194" s="54" t="s">
        <v>1844</v>
      </c>
      <c r="Q194" s="54" t="s">
        <v>516</v>
      </c>
      <c r="R194" s="58" t="s">
        <v>517</v>
      </c>
      <c r="S194" s="54" t="s">
        <v>98</v>
      </c>
    </row>
    <row r="195" customFormat="false" ht="35.05" hidden="false" customHeight="false" outlineLevel="0" collapsed="false">
      <c r="A195" s="51" t="s">
        <v>1845</v>
      </c>
      <c r="B195" s="51" t="n">
        <v>191</v>
      </c>
      <c r="C195" s="52" t="s">
        <v>1846</v>
      </c>
      <c r="D195" s="53" t="s">
        <v>1847</v>
      </c>
      <c r="E195" s="54" t="s">
        <v>1848</v>
      </c>
      <c r="F195" s="54" t="s">
        <v>1157</v>
      </c>
      <c r="G195" s="54" t="s">
        <v>1849</v>
      </c>
      <c r="H195" s="54" t="s">
        <v>1850</v>
      </c>
      <c r="I195" s="53" t="s">
        <v>1851</v>
      </c>
      <c r="J195" s="54" t="s">
        <v>1852</v>
      </c>
      <c r="K195" s="53" t="s">
        <v>1853</v>
      </c>
      <c r="L195" s="61" t="s">
        <v>10</v>
      </c>
      <c r="M195" s="62" t="n">
        <v>2</v>
      </c>
      <c r="N195" s="63" t="s">
        <v>1029</v>
      </c>
      <c r="O195" s="51" t="s">
        <v>95</v>
      </c>
      <c r="P195" s="54"/>
      <c r="Q195" s="54" t="s">
        <v>131</v>
      </c>
      <c r="R195" s="58" t="s">
        <v>132</v>
      </c>
      <c r="S195" s="54" t="s">
        <v>98</v>
      </c>
    </row>
    <row r="196" customFormat="false" ht="35.05" hidden="false" customHeight="false" outlineLevel="0" collapsed="false">
      <c r="A196" s="51" t="s">
        <v>1854</v>
      </c>
      <c r="B196" s="51" t="n">
        <v>192</v>
      </c>
      <c r="C196" s="52" t="s">
        <v>1855</v>
      </c>
      <c r="D196" s="53" t="s">
        <v>1856</v>
      </c>
      <c r="E196" s="54" t="s">
        <v>1857</v>
      </c>
      <c r="F196" s="54" t="s">
        <v>1157</v>
      </c>
      <c r="G196" s="54" t="s">
        <v>1858</v>
      </c>
      <c r="H196" s="54" t="s">
        <v>1859</v>
      </c>
      <c r="I196" s="53" t="s">
        <v>1860</v>
      </c>
      <c r="J196" s="54" t="s">
        <v>1861</v>
      </c>
      <c r="K196" s="53" t="s">
        <v>1862</v>
      </c>
      <c r="L196" s="61" t="s">
        <v>10</v>
      </c>
      <c r="M196" s="62" t="n">
        <v>2</v>
      </c>
      <c r="N196" s="63" t="s">
        <v>1029</v>
      </c>
      <c r="O196" s="51" t="s">
        <v>95</v>
      </c>
      <c r="P196" s="54"/>
      <c r="Q196" s="54" t="s">
        <v>131</v>
      </c>
      <c r="R196" s="58" t="s">
        <v>132</v>
      </c>
      <c r="S196" s="54" t="s">
        <v>98</v>
      </c>
    </row>
    <row r="197" customFormat="false" ht="35.05" hidden="false" customHeight="false" outlineLevel="0" collapsed="false">
      <c r="A197" s="51" t="s">
        <v>1863</v>
      </c>
      <c r="B197" s="51" t="n">
        <v>193</v>
      </c>
      <c r="C197" s="52" t="s">
        <v>1864</v>
      </c>
      <c r="D197" s="53" t="s">
        <v>1865</v>
      </c>
      <c r="E197" s="54" t="s">
        <v>1866</v>
      </c>
      <c r="F197" s="54" t="s">
        <v>1157</v>
      </c>
      <c r="G197" s="54" t="s">
        <v>1867</v>
      </c>
      <c r="H197" s="54" t="s">
        <v>1868</v>
      </c>
      <c r="I197" s="53" t="s">
        <v>1869</v>
      </c>
      <c r="J197" s="54" t="s">
        <v>1870</v>
      </c>
      <c r="K197" s="53" t="s">
        <v>1871</v>
      </c>
      <c r="L197" s="61" t="s">
        <v>10</v>
      </c>
      <c r="M197" s="62" t="n">
        <v>2</v>
      </c>
      <c r="N197" s="63" t="s">
        <v>1029</v>
      </c>
      <c r="O197" s="51" t="s">
        <v>95</v>
      </c>
      <c r="P197" s="54"/>
      <c r="Q197" s="54" t="s">
        <v>131</v>
      </c>
      <c r="R197" s="58" t="s">
        <v>132</v>
      </c>
      <c r="S197" s="54" t="s">
        <v>98</v>
      </c>
    </row>
    <row r="198" customFormat="false" ht="35.05" hidden="false" customHeight="false" outlineLevel="0" collapsed="false">
      <c r="A198" s="51" t="s">
        <v>1872</v>
      </c>
      <c r="B198" s="51" t="n">
        <v>194</v>
      </c>
      <c r="C198" s="52" t="s">
        <v>1873</v>
      </c>
      <c r="D198" s="53" t="s">
        <v>1874</v>
      </c>
      <c r="E198" s="54" t="s">
        <v>1875</v>
      </c>
      <c r="F198" s="54" t="s">
        <v>1023</v>
      </c>
      <c r="G198" s="54" t="s">
        <v>1876</v>
      </c>
      <c r="H198" s="54" t="s">
        <v>1877</v>
      </c>
      <c r="I198" s="53" t="s">
        <v>1878</v>
      </c>
      <c r="J198" s="54" t="s">
        <v>1879</v>
      </c>
      <c r="K198" s="53" t="s">
        <v>1880</v>
      </c>
      <c r="L198" s="61" t="s">
        <v>10</v>
      </c>
      <c r="M198" s="62" t="n">
        <v>2</v>
      </c>
      <c r="N198" s="63" t="s">
        <v>1029</v>
      </c>
      <c r="O198" s="51" t="s">
        <v>95</v>
      </c>
      <c r="P198" s="54"/>
      <c r="Q198" s="54" t="s">
        <v>131</v>
      </c>
      <c r="R198" s="58" t="s">
        <v>132</v>
      </c>
      <c r="S198" s="54" t="s">
        <v>98</v>
      </c>
    </row>
    <row r="199" customFormat="false" ht="35.05" hidden="false" customHeight="false" outlineLevel="0" collapsed="false">
      <c r="A199" s="51" t="s">
        <v>1881</v>
      </c>
      <c r="B199" s="51" t="n">
        <v>195</v>
      </c>
      <c r="C199" s="52" t="s">
        <v>1882</v>
      </c>
      <c r="D199" s="53" t="s">
        <v>1883</v>
      </c>
      <c r="E199" s="54" t="s">
        <v>1884</v>
      </c>
      <c r="F199" s="54" t="s">
        <v>823</v>
      </c>
      <c r="G199" s="54" t="s">
        <v>1885</v>
      </c>
      <c r="H199" s="54" t="s">
        <v>1886</v>
      </c>
      <c r="I199" s="53" t="s">
        <v>1887</v>
      </c>
      <c r="J199" s="54" t="s">
        <v>1888</v>
      </c>
      <c r="K199" s="53" t="s">
        <v>1889</v>
      </c>
      <c r="L199" s="61" t="s">
        <v>10</v>
      </c>
      <c r="M199" s="62" t="n">
        <v>2</v>
      </c>
      <c r="N199" s="63" t="s">
        <v>1029</v>
      </c>
      <c r="O199" s="51" t="s">
        <v>95</v>
      </c>
      <c r="P199" s="54"/>
      <c r="Q199" s="54" t="s">
        <v>131</v>
      </c>
      <c r="R199" s="58" t="s">
        <v>132</v>
      </c>
      <c r="S199" s="54" t="s">
        <v>98</v>
      </c>
    </row>
    <row r="200" customFormat="false" ht="35.05" hidden="false" customHeight="false" outlineLevel="0" collapsed="false">
      <c r="A200" s="51" t="s">
        <v>1890</v>
      </c>
      <c r="B200" s="51" t="n">
        <v>196</v>
      </c>
      <c r="C200" s="52" t="s">
        <v>1891</v>
      </c>
      <c r="D200" s="53" t="s">
        <v>1892</v>
      </c>
      <c r="E200" s="54" t="s">
        <v>1893</v>
      </c>
      <c r="F200" s="54" t="s">
        <v>88</v>
      </c>
      <c r="G200" s="54" t="s">
        <v>1894</v>
      </c>
      <c r="H200" s="54" t="s">
        <v>1895</v>
      </c>
      <c r="I200" s="53" t="s">
        <v>1896</v>
      </c>
      <c r="J200" s="54" t="s">
        <v>1897</v>
      </c>
      <c r="K200" s="53" t="s">
        <v>1898</v>
      </c>
      <c r="L200" s="61" t="s">
        <v>10</v>
      </c>
      <c r="M200" s="62" t="n">
        <v>2</v>
      </c>
      <c r="N200" s="63" t="s">
        <v>1029</v>
      </c>
      <c r="O200" s="51" t="s">
        <v>95</v>
      </c>
      <c r="P200" s="54"/>
      <c r="Q200" s="54" t="s">
        <v>131</v>
      </c>
      <c r="R200" s="58" t="s">
        <v>132</v>
      </c>
      <c r="S200" s="54" t="s">
        <v>98</v>
      </c>
    </row>
    <row r="201" customFormat="false" ht="35.05" hidden="false" customHeight="false" outlineLevel="0" collapsed="false">
      <c r="A201" s="51" t="s">
        <v>1899</v>
      </c>
      <c r="B201" s="51" t="n">
        <v>197</v>
      </c>
      <c r="C201" s="52" t="s">
        <v>1900</v>
      </c>
      <c r="D201" s="53" t="s">
        <v>1901</v>
      </c>
      <c r="E201" s="54" t="s">
        <v>1902</v>
      </c>
      <c r="F201" s="54" t="s">
        <v>823</v>
      </c>
      <c r="G201" s="54" t="s">
        <v>1903</v>
      </c>
      <c r="H201" s="54" t="s">
        <v>1904</v>
      </c>
      <c r="I201" s="53" t="s">
        <v>1905</v>
      </c>
      <c r="J201" s="54" t="s">
        <v>1906</v>
      </c>
      <c r="K201" s="53" t="s">
        <v>1907</v>
      </c>
      <c r="L201" s="61" t="s">
        <v>10</v>
      </c>
      <c r="M201" s="62" t="n">
        <v>2</v>
      </c>
      <c r="N201" s="63" t="s">
        <v>1029</v>
      </c>
      <c r="O201" s="51" t="s">
        <v>95</v>
      </c>
      <c r="P201" s="54"/>
      <c r="Q201" s="54" t="s">
        <v>96</v>
      </c>
      <c r="R201" s="58" t="s">
        <v>97</v>
      </c>
      <c r="S201" s="54" t="s">
        <v>98</v>
      </c>
    </row>
    <row r="202" customFormat="false" ht="35.05" hidden="false" customHeight="false" outlineLevel="0" collapsed="false">
      <c r="A202" s="51" t="s">
        <v>1908</v>
      </c>
      <c r="B202" s="51" t="n">
        <v>198</v>
      </c>
      <c r="C202" s="52" t="s">
        <v>1909</v>
      </c>
      <c r="D202" s="53" t="s">
        <v>1910</v>
      </c>
      <c r="E202" s="54" t="s">
        <v>1911</v>
      </c>
      <c r="F202" s="54" t="s">
        <v>823</v>
      </c>
      <c r="G202" s="54" t="s">
        <v>1912</v>
      </c>
      <c r="H202" s="54" t="s">
        <v>1913</v>
      </c>
      <c r="I202" s="53" t="s">
        <v>1914</v>
      </c>
      <c r="J202" s="54" t="s">
        <v>1915</v>
      </c>
      <c r="K202" s="53" t="s">
        <v>1916</v>
      </c>
      <c r="L202" s="61" t="s">
        <v>10</v>
      </c>
      <c r="M202" s="62" t="n">
        <v>2</v>
      </c>
      <c r="N202" s="63" t="s">
        <v>1029</v>
      </c>
      <c r="O202" s="51" t="s">
        <v>95</v>
      </c>
      <c r="P202" s="54"/>
      <c r="Q202" s="54" t="s">
        <v>96</v>
      </c>
      <c r="R202" s="58" t="s">
        <v>97</v>
      </c>
      <c r="S202" s="54" t="s">
        <v>98</v>
      </c>
    </row>
    <row r="203" customFormat="false" ht="35.05" hidden="false" customHeight="false" outlineLevel="0" collapsed="false">
      <c r="A203" s="51" t="s">
        <v>1917</v>
      </c>
      <c r="B203" s="51" t="n">
        <v>199</v>
      </c>
      <c r="C203" s="52" t="s">
        <v>1918</v>
      </c>
      <c r="D203" s="53" t="s">
        <v>1919</v>
      </c>
      <c r="E203" s="54" t="s">
        <v>1920</v>
      </c>
      <c r="F203" s="54" t="s">
        <v>1157</v>
      </c>
      <c r="G203" s="54" t="s">
        <v>1921</v>
      </c>
      <c r="H203" s="54" t="s">
        <v>1922</v>
      </c>
      <c r="I203" s="53" t="s">
        <v>1923</v>
      </c>
      <c r="J203" s="54" t="s">
        <v>1924</v>
      </c>
      <c r="K203" s="53" t="s">
        <v>1925</v>
      </c>
      <c r="L203" s="61" t="s">
        <v>10</v>
      </c>
      <c r="M203" s="62" t="n">
        <v>2</v>
      </c>
      <c r="N203" s="63" t="s">
        <v>1029</v>
      </c>
      <c r="O203" s="51" t="s">
        <v>95</v>
      </c>
      <c r="P203" s="54"/>
      <c r="Q203" s="54" t="s">
        <v>131</v>
      </c>
      <c r="R203" s="58" t="s">
        <v>132</v>
      </c>
      <c r="S203" s="54" t="s">
        <v>98</v>
      </c>
    </row>
    <row r="204" customFormat="false" ht="35.05" hidden="false" customHeight="false" outlineLevel="0" collapsed="false">
      <c r="A204" s="51" t="s">
        <v>1926</v>
      </c>
      <c r="B204" s="51" t="n">
        <v>200</v>
      </c>
      <c r="C204" s="52" t="s">
        <v>1927</v>
      </c>
      <c r="D204" s="53" t="s">
        <v>1928</v>
      </c>
      <c r="E204" s="54" t="s">
        <v>1929</v>
      </c>
      <c r="F204" s="54" t="s">
        <v>88</v>
      </c>
      <c r="G204" s="54" t="s">
        <v>1930</v>
      </c>
      <c r="H204" s="54" t="s">
        <v>1931</v>
      </c>
      <c r="I204" s="53" t="s">
        <v>1932</v>
      </c>
      <c r="J204" s="54" t="s">
        <v>1933</v>
      </c>
      <c r="K204" s="53" t="s">
        <v>1934</v>
      </c>
      <c r="L204" s="61" t="s">
        <v>10</v>
      </c>
      <c r="M204" s="62" t="n">
        <v>2</v>
      </c>
      <c r="N204" s="63" t="s">
        <v>1029</v>
      </c>
      <c r="O204" s="51" t="s">
        <v>95</v>
      </c>
      <c r="P204" s="54"/>
      <c r="Q204" s="54" t="s">
        <v>131</v>
      </c>
      <c r="R204" s="58" t="s">
        <v>132</v>
      </c>
      <c r="S204" s="54" t="s">
        <v>98</v>
      </c>
    </row>
    <row r="205" customFormat="false" ht="35.05" hidden="false" customHeight="false" outlineLevel="0" collapsed="false">
      <c r="A205" s="51" t="s">
        <v>1935</v>
      </c>
      <c r="B205" s="51" t="n">
        <v>201</v>
      </c>
      <c r="C205" s="52" t="s">
        <v>1936</v>
      </c>
      <c r="D205" s="53" t="s">
        <v>1937</v>
      </c>
      <c r="E205" s="54" t="s">
        <v>1938</v>
      </c>
      <c r="F205" s="54" t="s">
        <v>88</v>
      </c>
      <c r="G205" s="54" t="s">
        <v>1939</v>
      </c>
      <c r="H205" s="54" t="s">
        <v>1940</v>
      </c>
      <c r="I205" s="53" t="s">
        <v>1941</v>
      </c>
      <c r="J205" s="54" t="s">
        <v>1942</v>
      </c>
      <c r="K205" s="53" t="s">
        <v>1943</v>
      </c>
      <c r="L205" s="61" t="s">
        <v>10</v>
      </c>
      <c r="M205" s="62" t="n">
        <v>2</v>
      </c>
      <c r="N205" s="63" t="s">
        <v>1029</v>
      </c>
      <c r="O205" s="51" t="s">
        <v>95</v>
      </c>
      <c r="P205" s="54"/>
      <c r="Q205" s="54" t="s">
        <v>131</v>
      </c>
      <c r="R205" s="58" t="s">
        <v>132</v>
      </c>
      <c r="S205" s="54" t="s">
        <v>98</v>
      </c>
    </row>
    <row r="206" customFormat="false" ht="35.05" hidden="false" customHeight="false" outlineLevel="0" collapsed="false">
      <c r="A206" s="51" t="s">
        <v>1944</v>
      </c>
      <c r="B206" s="51" t="n">
        <v>202</v>
      </c>
      <c r="C206" s="52" t="s">
        <v>1945</v>
      </c>
      <c r="D206" s="53" t="s">
        <v>1946</v>
      </c>
      <c r="E206" s="54" t="s">
        <v>1947</v>
      </c>
      <c r="F206" s="54" t="s">
        <v>88</v>
      </c>
      <c r="G206" s="54" t="s">
        <v>1948</v>
      </c>
      <c r="H206" s="54" t="s">
        <v>1949</v>
      </c>
      <c r="I206" s="53" t="s">
        <v>1950</v>
      </c>
      <c r="J206" s="54" t="s">
        <v>1951</v>
      </c>
      <c r="K206" s="53" t="s">
        <v>1952</v>
      </c>
      <c r="L206" s="61" t="s">
        <v>10</v>
      </c>
      <c r="M206" s="62" t="n">
        <v>2</v>
      </c>
      <c r="N206" s="63" t="s">
        <v>1029</v>
      </c>
      <c r="O206" s="51" t="s">
        <v>95</v>
      </c>
      <c r="P206" s="54"/>
      <c r="Q206" s="54" t="s">
        <v>131</v>
      </c>
      <c r="R206" s="58" t="s">
        <v>132</v>
      </c>
      <c r="S206" s="54" t="s">
        <v>98</v>
      </c>
    </row>
    <row r="207" customFormat="false" ht="35.05" hidden="false" customHeight="false" outlineLevel="0" collapsed="false">
      <c r="A207" s="51" t="s">
        <v>1953</v>
      </c>
      <c r="B207" s="51" t="n">
        <v>203</v>
      </c>
      <c r="C207" s="52" t="s">
        <v>1954</v>
      </c>
      <c r="D207" s="53" t="s">
        <v>1955</v>
      </c>
      <c r="E207" s="54" t="s">
        <v>1956</v>
      </c>
      <c r="F207" s="54" t="s">
        <v>1120</v>
      </c>
      <c r="G207" s="54" t="s">
        <v>1957</v>
      </c>
      <c r="H207" s="54" t="s">
        <v>1958</v>
      </c>
      <c r="I207" s="53" t="s">
        <v>1959</v>
      </c>
      <c r="J207" s="54" t="s">
        <v>1960</v>
      </c>
      <c r="K207" s="53" t="s">
        <v>1961</v>
      </c>
      <c r="L207" s="61" t="s">
        <v>10</v>
      </c>
      <c r="M207" s="62" t="n">
        <v>2</v>
      </c>
      <c r="N207" s="63" t="s">
        <v>1029</v>
      </c>
      <c r="O207" s="51" t="s">
        <v>95</v>
      </c>
      <c r="P207" s="54"/>
      <c r="Q207" s="54" t="s">
        <v>131</v>
      </c>
      <c r="R207" s="58" t="s">
        <v>132</v>
      </c>
      <c r="S207" s="54" t="s">
        <v>98</v>
      </c>
    </row>
    <row r="208" customFormat="false" ht="35.05" hidden="false" customHeight="false" outlineLevel="0" collapsed="false">
      <c r="A208" s="51" t="s">
        <v>1962</v>
      </c>
      <c r="B208" s="51" t="n">
        <v>204</v>
      </c>
      <c r="C208" s="52" t="s">
        <v>1963</v>
      </c>
      <c r="D208" s="53" t="s">
        <v>1964</v>
      </c>
      <c r="E208" s="54" t="s">
        <v>1965</v>
      </c>
      <c r="F208" s="54" t="s">
        <v>1120</v>
      </c>
      <c r="G208" s="54" t="s">
        <v>1966</v>
      </c>
      <c r="H208" s="54" t="s">
        <v>1967</v>
      </c>
      <c r="I208" s="53" t="s">
        <v>1968</v>
      </c>
      <c r="J208" s="54" t="s">
        <v>1969</v>
      </c>
      <c r="K208" s="53" t="s">
        <v>1970</v>
      </c>
      <c r="L208" s="61" t="s">
        <v>10</v>
      </c>
      <c r="M208" s="62" t="n">
        <v>2</v>
      </c>
      <c r="N208" s="63" t="s">
        <v>1029</v>
      </c>
      <c r="O208" s="51" t="s">
        <v>95</v>
      </c>
      <c r="P208" s="54"/>
      <c r="Q208" s="54" t="s">
        <v>131</v>
      </c>
      <c r="R208" s="58" t="s">
        <v>132</v>
      </c>
      <c r="S208" s="54" t="s">
        <v>98</v>
      </c>
    </row>
    <row r="209" customFormat="false" ht="35.05" hidden="false" customHeight="false" outlineLevel="0" collapsed="false">
      <c r="A209" s="51" t="s">
        <v>1971</v>
      </c>
      <c r="B209" s="51" t="n">
        <v>205</v>
      </c>
      <c r="C209" s="52" t="s">
        <v>1972</v>
      </c>
      <c r="D209" s="53" t="s">
        <v>1973</v>
      </c>
      <c r="E209" s="54" t="s">
        <v>1974</v>
      </c>
      <c r="F209" s="54" t="s">
        <v>823</v>
      </c>
      <c r="G209" s="54" t="s">
        <v>1975</v>
      </c>
      <c r="H209" s="54" t="s">
        <v>1976</v>
      </c>
      <c r="I209" s="53" t="s">
        <v>1977</v>
      </c>
      <c r="J209" s="54" t="s">
        <v>1978</v>
      </c>
      <c r="K209" s="53" t="s">
        <v>1979</v>
      </c>
      <c r="L209" s="61" t="s">
        <v>10</v>
      </c>
      <c r="M209" s="62" t="n">
        <v>2</v>
      </c>
      <c r="N209" s="63" t="s">
        <v>1029</v>
      </c>
      <c r="O209" s="51" t="s">
        <v>95</v>
      </c>
      <c r="P209" s="54"/>
      <c r="Q209" s="54" t="s">
        <v>516</v>
      </c>
      <c r="R209" s="58" t="s">
        <v>517</v>
      </c>
      <c r="S209" s="54" t="s">
        <v>98</v>
      </c>
    </row>
    <row r="210" customFormat="false" ht="35.05" hidden="false" customHeight="false" outlineLevel="0" collapsed="false">
      <c r="A210" s="51" t="s">
        <v>1980</v>
      </c>
      <c r="B210" s="51" t="n">
        <v>206</v>
      </c>
      <c r="C210" s="52" t="s">
        <v>1981</v>
      </c>
      <c r="D210" s="53" t="s">
        <v>1982</v>
      </c>
      <c r="E210" s="54" t="s">
        <v>1983</v>
      </c>
      <c r="F210" s="54" t="s">
        <v>88</v>
      </c>
      <c r="G210" s="54" t="s">
        <v>1984</v>
      </c>
      <c r="H210" s="54" t="s">
        <v>1985</v>
      </c>
      <c r="I210" s="53" t="s">
        <v>1986</v>
      </c>
      <c r="J210" s="54" t="s">
        <v>1987</v>
      </c>
      <c r="K210" s="53" t="s">
        <v>1988</v>
      </c>
      <c r="L210" s="61" t="s">
        <v>10</v>
      </c>
      <c r="M210" s="62" t="n">
        <v>2</v>
      </c>
      <c r="N210" s="63" t="s">
        <v>1029</v>
      </c>
      <c r="O210" s="59" t="s">
        <v>161</v>
      </c>
      <c r="P210" s="54" t="s">
        <v>1507</v>
      </c>
      <c r="Q210" s="54" t="s">
        <v>131</v>
      </c>
      <c r="R210" s="58" t="s">
        <v>132</v>
      </c>
      <c r="S210" s="54" t="s">
        <v>98</v>
      </c>
    </row>
    <row r="211" customFormat="false" ht="35.05" hidden="false" customHeight="false" outlineLevel="0" collapsed="false">
      <c r="A211" s="51" t="s">
        <v>1989</v>
      </c>
      <c r="B211" s="51" t="n">
        <v>207</v>
      </c>
      <c r="C211" s="52" t="s">
        <v>1990</v>
      </c>
      <c r="D211" s="53" t="s">
        <v>1991</v>
      </c>
      <c r="E211" s="54" t="s">
        <v>1992</v>
      </c>
      <c r="F211" s="54" t="s">
        <v>1120</v>
      </c>
      <c r="G211" s="54" t="s">
        <v>1993</v>
      </c>
      <c r="H211" s="54" t="s">
        <v>1994</v>
      </c>
      <c r="I211" s="53" t="s">
        <v>1995</v>
      </c>
      <c r="J211" s="54" t="s">
        <v>1996</v>
      </c>
      <c r="K211" s="53" t="s">
        <v>1997</v>
      </c>
      <c r="L211" s="61" t="s">
        <v>10</v>
      </c>
      <c r="M211" s="62" t="n">
        <v>2</v>
      </c>
      <c r="N211" s="63" t="s">
        <v>1029</v>
      </c>
      <c r="O211" s="51" t="s">
        <v>95</v>
      </c>
      <c r="P211" s="54"/>
      <c r="Q211" s="54" t="s">
        <v>131</v>
      </c>
      <c r="R211" s="58" t="s">
        <v>132</v>
      </c>
      <c r="S211" s="54" t="s">
        <v>98</v>
      </c>
    </row>
    <row r="212" customFormat="false" ht="35.05" hidden="false" customHeight="false" outlineLevel="0" collapsed="false">
      <c r="A212" s="51" t="s">
        <v>1998</v>
      </c>
      <c r="B212" s="51" t="n">
        <v>208</v>
      </c>
      <c r="C212" s="52" t="s">
        <v>1999</v>
      </c>
      <c r="D212" s="53" t="s">
        <v>2000</v>
      </c>
      <c r="E212" s="54" t="s">
        <v>2001</v>
      </c>
      <c r="F212" s="54" t="s">
        <v>1157</v>
      </c>
      <c r="G212" s="54" t="s">
        <v>2002</v>
      </c>
      <c r="H212" s="54" t="s">
        <v>2003</v>
      </c>
      <c r="I212" s="53" t="s">
        <v>2004</v>
      </c>
      <c r="J212" s="54" t="s">
        <v>2005</v>
      </c>
      <c r="K212" s="53" t="s">
        <v>2006</v>
      </c>
      <c r="L212" s="61" t="s">
        <v>10</v>
      </c>
      <c r="M212" s="62" t="n">
        <v>2</v>
      </c>
      <c r="N212" s="63" t="s">
        <v>1029</v>
      </c>
      <c r="O212" s="51" t="s">
        <v>95</v>
      </c>
      <c r="P212" s="54"/>
      <c r="Q212" s="54" t="s">
        <v>131</v>
      </c>
      <c r="R212" s="58" t="s">
        <v>132</v>
      </c>
      <c r="S212" s="54" t="s">
        <v>98</v>
      </c>
    </row>
    <row r="213" customFormat="false" ht="35.05" hidden="false" customHeight="false" outlineLevel="0" collapsed="false">
      <c r="A213" s="51" t="s">
        <v>2007</v>
      </c>
      <c r="B213" s="51" t="n">
        <v>209</v>
      </c>
      <c r="C213" s="52" t="s">
        <v>2008</v>
      </c>
      <c r="D213" s="53" t="s">
        <v>2009</v>
      </c>
      <c r="E213" s="54" t="s">
        <v>2010</v>
      </c>
      <c r="F213" s="54" t="s">
        <v>823</v>
      </c>
      <c r="G213" s="54" t="s">
        <v>2011</v>
      </c>
      <c r="H213" s="54" t="s">
        <v>2012</v>
      </c>
      <c r="I213" s="53" t="s">
        <v>2013</v>
      </c>
      <c r="J213" s="54" t="s">
        <v>2014</v>
      </c>
      <c r="K213" s="53" t="s">
        <v>2015</v>
      </c>
      <c r="L213" s="61" t="s">
        <v>10</v>
      </c>
      <c r="M213" s="62" t="n">
        <v>2</v>
      </c>
      <c r="N213" s="63" t="s">
        <v>1029</v>
      </c>
      <c r="O213" s="51" t="s">
        <v>95</v>
      </c>
      <c r="P213" s="54"/>
      <c r="Q213" s="54" t="s">
        <v>516</v>
      </c>
      <c r="R213" s="58" t="s">
        <v>517</v>
      </c>
      <c r="S213" s="54" t="s">
        <v>98</v>
      </c>
    </row>
    <row r="214" customFormat="false" ht="35.05" hidden="false" customHeight="false" outlineLevel="0" collapsed="false">
      <c r="A214" s="51" t="s">
        <v>2016</v>
      </c>
      <c r="B214" s="51" t="n">
        <v>210</v>
      </c>
      <c r="C214" s="52" t="s">
        <v>2017</v>
      </c>
      <c r="D214" s="53" t="s">
        <v>2018</v>
      </c>
      <c r="E214" s="54" t="s">
        <v>2019</v>
      </c>
      <c r="F214" s="54" t="s">
        <v>88</v>
      </c>
      <c r="G214" s="54" t="s">
        <v>2020</v>
      </c>
      <c r="H214" s="54" t="s">
        <v>2021</v>
      </c>
      <c r="I214" s="53" t="s">
        <v>2022</v>
      </c>
      <c r="J214" s="54" t="s">
        <v>2023</v>
      </c>
      <c r="K214" s="53" t="s">
        <v>2024</v>
      </c>
      <c r="L214" s="61" t="s">
        <v>10</v>
      </c>
      <c r="M214" s="62" t="n">
        <v>2</v>
      </c>
      <c r="N214" s="63" t="s">
        <v>1029</v>
      </c>
      <c r="O214" s="51" t="s">
        <v>95</v>
      </c>
      <c r="P214" s="54"/>
      <c r="Q214" s="54" t="s">
        <v>131</v>
      </c>
      <c r="R214" s="58" t="s">
        <v>132</v>
      </c>
      <c r="S214" s="54" t="s">
        <v>98</v>
      </c>
    </row>
    <row r="215" customFormat="false" ht="68.65" hidden="false" customHeight="false" outlineLevel="0" collapsed="false">
      <c r="A215" s="51" t="s">
        <v>2025</v>
      </c>
      <c r="B215" s="51" t="n">
        <v>211</v>
      </c>
      <c r="C215" s="52" t="s">
        <v>2026</v>
      </c>
      <c r="D215" s="53" t="s">
        <v>2027</v>
      </c>
      <c r="E215" s="54" t="s">
        <v>2028</v>
      </c>
      <c r="F215" s="54" t="s">
        <v>2029</v>
      </c>
      <c r="G215" s="54" t="s">
        <v>2030</v>
      </c>
      <c r="H215" s="54" t="s">
        <v>2031</v>
      </c>
      <c r="I215" s="53" t="s">
        <v>2032</v>
      </c>
      <c r="J215" s="54" t="s">
        <v>2033</v>
      </c>
      <c r="K215" s="53" t="s">
        <v>2034</v>
      </c>
      <c r="L215" s="55" t="s">
        <v>8</v>
      </c>
      <c r="M215" s="64" t="n">
        <v>3</v>
      </c>
      <c r="N215" s="65" t="s">
        <v>2035</v>
      </c>
      <c r="O215" s="51" t="s">
        <v>95</v>
      </c>
      <c r="P215" s="54"/>
      <c r="Q215" s="54" t="s">
        <v>237</v>
      </c>
      <c r="R215" s="58" t="s">
        <v>238</v>
      </c>
      <c r="S215" s="54" t="s">
        <v>98</v>
      </c>
    </row>
    <row r="216" customFormat="false" ht="35.05" hidden="false" customHeight="false" outlineLevel="0" collapsed="false">
      <c r="A216" s="51" t="s">
        <v>2036</v>
      </c>
      <c r="B216" s="51" t="n">
        <v>212</v>
      </c>
      <c r="C216" s="52" t="s">
        <v>2037</v>
      </c>
      <c r="D216" s="53" t="s">
        <v>2038</v>
      </c>
      <c r="E216" s="54" t="s">
        <v>2039</v>
      </c>
      <c r="F216" s="54" t="s">
        <v>249</v>
      </c>
      <c r="G216" s="54" t="s">
        <v>2040</v>
      </c>
      <c r="H216" s="54" t="s">
        <v>2041</v>
      </c>
      <c r="I216" s="53" t="s">
        <v>2042</v>
      </c>
      <c r="J216" s="54" t="s">
        <v>2043</v>
      </c>
      <c r="K216" s="53" t="s">
        <v>2044</v>
      </c>
      <c r="L216" s="55" t="s">
        <v>8</v>
      </c>
      <c r="M216" s="64" t="n">
        <v>3</v>
      </c>
      <c r="N216" s="65" t="s">
        <v>2035</v>
      </c>
      <c r="O216" s="51" t="s">
        <v>95</v>
      </c>
      <c r="P216" s="54"/>
      <c r="Q216" s="54" t="s">
        <v>96</v>
      </c>
      <c r="R216" s="58" t="s">
        <v>97</v>
      </c>
      <c r="S216" s="54" t="s">
        <v>98</v>
      </c>
    </row>
    <row r="217" customFormat="false" ht="35.05" hidden="false" customHeight="false" outlineLevel="0" collapsed="false">
      <c r="A217" s="51" t="s">
        <v>2045</v>
      </c>
      <c r="B217" s="51" t="n">
        <v>213</v>
      </c>
      <c r="C217" s="52" t="s">
        <v>2046</v>
      </c>
      <c r="D217" s="53" t="s">
        <v>2047</v>
      </c>
      <c r="E217" s="54" t="s">
        <v>2048</v>
      </c>
      <c r="F217" s="54" t="s">
        <v>261</v>
      </c>
      <c r="G217" s="54" t="s">
        <v>2049</v>
      </c>
      <c r="H217" s="54" t="s">
        <v>2050</v>
      </c>
      <c r="I217" s="53" t="s">
        <v>2051</v>
      </c>
      <c r="J217" s="54" t="s">
        <v>2052</v>
      </c>
      <c r="K217" s="53" t="s">
        <v>2053</v>
      </c>
      <c r="L217" s="55" t="s">
        <v>8</v>
      </c>
      <c r="M217" s="64" t="n">
        <v>3</v>
      </c>
      <c r="N217" s="65" t="s">
        <v>2035</v>
      </c>
      <c r="O217" s="51" t="s">
        <v>95</v>
      </c>
      <c r="P217" s="54"/>
      <c r="Q217" s="54" t="s">
        <v>131</v>
      </c>
      <c r="R217" s="58" t="s">
        <v>132</v>
      </c>
      <c r="S217" s="54" t="s">
        <v>98</v>
      </c>
    </row>
    <row r="218" customFormat="false" ht="35.05" hidden="false" customHeight="false" outlineLevel="0" collapsed="false">
      <c r="A218" s="51" t="s">
        <v>2054</v>
      </c>
      <c r="B218" s="51" t="n">
        <v>214</v>
      </c>
      <c r="C218" s="52" t="s">
        <v>2055</v>
      </c>
      <c r="D218" s="53" t="s">
        <v>2056</v>
      </c>
      <c r="E218" s="54" t="s">
        <v>2057</v>
      </c>
      <c r="F218" s="54" t="s">
        <v>548</v>
      </c>
      <c r="G218" s="54" t="s">
        <v>2058</v>
      </c>
      <c r="H218" s="54" t="s">
        <v>2059</v>
      </c>
      <c r="I218" s="53" t="s">
        <v>2060</v>
      </c>
      <c r="J218" s="54" t="s">
        <v>2061</v>
      </c>
      <c r="K218" s="53" t="s">
        <v>2062</v>
      </c>
      <c r="L218" s="55" t="s">
        <v>8</v>
      </c>
      <c r="M218" s="64" t="n">
        <v>3</v>
      </c>
      <c r="N218" s="65" t="s">
        <v>2035</v>
      </c>
      <c r="O218" s="51" t="s">
        <v>95</v>
      </c>
      <c r="P218" s="54"/>
      <c r="Q218" s="54" t="s">
        <v>131</v>
      </c>
      <c r="R218" s="58" t="s">
        <v>132</v>
      </c>
      <c r="S218" s="54" t="s">
        <v>98</v>
      </c>
    </row>
    <row r="219" customFormat="false" ht="68.65" hidden="false" customHeight="false" outlineLevel="0" collapsed="false">
      <c r="A219" s="51" t="s">
        <v>2063</v>
      </c>
      <c r="B219" s="51" t="n">
        <v>215</v>
      </c>
      <c r="C219" s="52" t="s">
        <v>2064</v>
      </c>
      <c r="D219" s="53" t="s">
        <v>2065</v>
      </c>
      <c r="E219" s="54" t="s">
        <v>2066</v>
      </c>
      <c r="F219" s="54" t="s">
        <v>548</v>
      </c>
      <c r="G219" s="54" t="s">
        <v>2067</v>
      </c>
      <c r="H219" s="54" t="s">
        <v>2068</v>
      </c>
      <c r="I219" s="53" t="s">
        <v>2069</v>
      </c>
      <c r="J219" s="54" t="s">
        <v>2070</v>
      </c>
      <c r="K219" s="53" t="s">
        <v>2071</v>
      </c>
      <c r="L219" s="55" t="s">
        <v>8</v>
      </c>
      <c r="M219" s="64" t="n">
        <v>3</v>
      </c>
      <c r="N219" s="65" t="s">
        <v>2035</v>
      </c>
      <c r="O219" s="59" t="s">
        <v>161</v>
      </c>
      <c r="P219" s="54" t="s">
        <v>2072</v>
      </c>
      <c r="Q219" s="54" t="s">
        <v>237</v>
      </c>
      <c r="R219" s="58" t="s">
        <v>238</v>
      </c>
      <c r="S219" s="54" t="s">
        <v>98</v>
      </c>
    </row>
    <row r="220" customFormat="false" ht="35.05" hidden="false" customHeight="false" outlineLevel="0" collapsed="false">
      <c r="A220" s="51" t="s">
        <v>2073</v>
      </c>
      <c r="B220" s="51" t="n">
        <v>216</v>
      </c>
      <c r="C220" s="52" t="s">
        <v>2074</v>
      </c>
      <c r="D220" s="53" t="s">
        <v>2075</v>
      </c>
      <c r="E220" s="54" t="s">
        <v>2076</v>
      </c>
      <c r="F220" s="54" t="s">
        <v>125</v>
      </c>
      <c r="G220" s="54" t="s">
        <v>2077</v>
      </c>
      <c r="H220" s="54" t="s">
        <v>2078</v>
      </c>
      <c r="I220" s="53" t="s">
        <v>2079</v>
      </c>
      <c r="J220" s="54" t="s">
        <v>2080</v>
      </c>
      <c r="K220" s="53" t="s">
        <v>2081</v>
      </c>
      <c r="L220" s="55" t="s">
        <v>8</v>
      </c>
      <c r="M220" s="64" t="n">
        <v>3</v>
      </c>
      <c r="N220" s="65" t="s">
        <v>2035</v>
      </c>
      <c r="O220" s="59" t="s">
        <v>161</v>
      </c>
      <c r="P220" s="54" t="s">
        <v>2082</v>
      </c>
      <c r="Q220" s="54" t="s">
        <v>516</v>
      </c>
      <c r="R220" s="58" t="s">
        <v>517</v>
      </c>
      <c r="S220" s="54" t="s">
        <v>98</v>
      </c>
    </row>
    <row r="221" customFormat="false" ht="35.05" hidden="false" customHeight="false" outlineLevel="0" collapsed="false">
      <c r="A221" s="51" t="s">
        <v>2083</v>
      </c>
      <c r="B221" s="51" t="n">
        <v>217</v>
      </c>
      <c r="C221" s="52" t="s">
        <v>2084</v>
      </c>
      <c r="D221" s="53" t="s">
        <v>2085</v>
      </c>
      <c r="E221" s="54" t="s">
        <v>2086</v>
      </c>
      <c r="F221" s="54" t="s">
        <v>548</v>
      </c>
      <c r="G221" s="54" t="s">
        <v>2087</v>
      </c>
      <c r="H221" s="54" t="s">
        <v>2088</v>
      </c>
      <c r="I221" s="53" t="s">
        <v>2089</v>
      </c>
      <c r="J221" s="54" t="s">
        <v>2090</v>
      </c>
      <c r="K221" s="53" t="s">
        <v>2091</v>
      </c>
      <c r="L221" s="55" t="s">
        <v>8</v>
      </c>
      <c r="M221" s="64" t="n">
        <v>3</v>
      </c>
      <c r="N221" s="65" t="s">
        <v>2035</v>
      </c>
      <c r="O221" s="51" t="s">
        <v>95</v>
      </c>
      <c r="P221" s="54"/>
      <c r="Q221" s="54" t="s">
        <v>96</v>
      </c>
      <c r="R221" s="58" t="s">
        <v>97</v>
      </c>
      <c r="S221" s="54" t="s">
        <v>98</v>
      </c>
    </row>
    <row r="222" customFormat="false" ht="46.25" hidden="false" customHeight="false" outlineLevel="0" collapsed="false">
      <c r="A222" s="51" t="s">
        <v>2092</v>
      </c>
      <c r="B222" s="51" t="n">
        <v>218</v>
      </c>
      <c r="C222" s="52" t="s">
        <v>2093</v>
      </c>
      <c r="D222" s="53" t="s">
        <v>2094</v>
      </c>
      <c r="E222" s="54" t="s">
        <v>2095</v>
      </c>
      <c r="F222" s="54" t="s">
        <v>548</v>
      </c>
      <c r="G222" s="54" t="s">
        <v>2096</v>
      </c>
      <c r="H222" s="54" t="s">
        <v>2097</v>
      </c>
      <c r="I222" s="53" t="s">
        <v>2098</v>
      </c>
      <c r="J222" s="54" t="s">
        <v>2099</v>
      </c>
      <c r="K222" s="53" t="s">
        <v>2100</v>
      </c>
      <c r="L222" s="55" t="s">
        <v>8</v>
      </c>
      <c r="M222" s="64" t="n">
        <v>3</v>
      </c>
      <c r="N222" s="65" t="s">
        <v>2035</v>
      </c>
      <c r="O222" s="51" t="s">
        <v>95</v>
      </c>
      <c r="P222" s="54"/>
      <c r="Q222" s="54" t="s">
        <v>109</v>
      </c>
      <c r="R222" s="58" t="s">
        <v>110</v>
      </c>
      <c r="S222" s="54" t="s">
        <v>98</v>
      </c>
    </row>
    <row r="223" customFormat="false" ht="35.05" hidden="false" customHeight="false" outlineLevel="0" collapsed="false">
      <c r="A223" s="51" t="s">
        <v>2101</v>
      </c>
      <c r="B223" s="51" t="n">
        <v>219</v>
      </c>
      <c r="C223" s="52" t="s">
        <v>2102</v>
      </c>
      <c r="D223" s="53" t="s">
        <v>2103</v>
      </c>
      <c r="E223" s="54" t="s">
        <v>2104</v>
      </c>
      <c r="F223" s="54" t="s">
        <v>548</v>
      </c>
      <c r="G223" s="54" t="s">
        <v>2105</v>
      </c>
      <c r="H223" s="54" t="s">
        <v>2106</v>
      </c>
      <c r="I223" s="53" t="s">
        <v>2107</v>
      </c>
      <c r="J223" s="54" t="s">
        <v>2108</v>
      </c>
      <c r="K223" s="53" t="s">
        <v>2109</v>
      </c>
      <c r="L223" s="55" t="s">
        <v>8</v>
      </c>
      <c r="M223" s="64" t="n">
        <v>3</v>
      </c>
      <c r="N223" s="65" t="s">
        <v>2035</v>
      </c>
      <c r="O223" s="51" t="s">
        <v>95</v>
      </c>
      <c r="P223" s="54"/>
      <c r="Q223" s="54" t="s">
        <v>96</v>
      </c>
      <c r="R223" s="58" t="s">
        <v>97</v>
      </c>
      <c r="S223" s="54" t="s">
        <v>98</v>
      </c>
    </row>
    <row r="224" customFormat="false" ht="35.05" hidden="false" customHeight="false" outlineLevel="0" collapsed="false">
      <c r="A224" s="51" t="s">
        <v>2110</v>
      </c>
      <c r="B224" s="51" t="n">
        <v>220</v>
      </c>
      <c r="C224" s="52" t="s">
        <v>2111</v>
      </c>
      <c r="D224" s="53" t="s">
        <v>2112</v>
      </c>
      <c r="E224" s="54" t="s">
        <v>2113</v>
      </c>
      <c r="F224" s="54" t="s">
        <v>548</v>
      </c>
      <c r="G224" s="54" t="s">
        <v>2114</v>
      </c>
      <c r="H224" s="54" t="s">
        <v>2115</v>
      </c>
      <c r="I224" s="53" t="s">
        <v>2116</v>
      </c>
      <c r="J224" s="54" t="s">
        <v>2117</v>
      </c>
      <c r="K224" s="53" t="s">
        <v>2118</v>
      </c>
      <c r="L224" s="55" t="s">
        <v>8</v>
      </c>
      <c r="M224" s="64" t="n">
        <v>3</v>
      </c>
      <c r="N224" s="65" t="s">
        <v>2035</v>
      </c>
      <c r="O224" s="59" t="s">
        <v>161</v>
      </c>
      <c r="P224" s="54" t="s">
        <v>2119</v>
      </c>
      <c r="Q224" s="54" t="s">
        <v>516</v>
      </c>
      <c r="R224" s="58" t="s">
        <v>517</v>
      </c>
      <c r="S224" s="54" t="s">
        <v>98</v>
      </c>
    </row>
    <row r="225" customFormat="false" ht="35.05" hidden="false" customHeight="false" outlineLevel="0" collapsed="false">
      <c r="A225" s="51" t="s">
        <v>2120</v>
      </c>
      <c r="B225" s="51" t="n">
        <v>221</v>
      </c>
      <c r="C225" s="52" t="s">
        <v>2121</v>
      </c>
      <c r="D225" s="53" t="s">
        <v>2122</v>
      </c>
      <c r="E225" s="54" t="s">
        <v>2123</v>
      </c>
      <c r="F225" s="54" t="s">
        <v>2029</v>
      </c>
      <c r="G225" s="54" t="s">
        <v>2124</v>
      </c>
      <c r="H225" s="54" t="s">
        <v>2125</v>
      </c>
      <c r="I225" s="53" t="s">
        <v>2126</v>
      </c>
      <c r="J225" s="54" t="s">
        <v>2127</v>
      </c>
      <c r="K225" s="53" t="s">
        <v>2128</v>
      </c>
      <c r="L225" s="55" t="s">
        <v>8</v>
      </c>
      <c r="M225" s="64" t="n">
        <v>3</v>
      </c>
      <c r="N225" s="65" t="s">
        <v>2035</v>
      </c>
      <c r="O225" s="51" t="s">
        <v>95</v>
      </c>
      <c r="P225" s="54"/>
      <c r="Q225" s="54" t="s">
        <v>516</v>
      </c>
      <c r="R225" s="58" t="s">
        <v>517</v>
      </c>
      <c r="S225" s="54" t="s">
        <v>98</v>
      </c>
    </row>
    <row r="226" customFormat="false" ht="46.25" hidden="false" customHeight="false" outlineLevel="0" collapsed="false">
      <c r="A226" s="51" t="s">
        <v>2129</v>
      </c>
      <c r="B226" s="51" t="n">
        <v>222</v>
      </c>
      <c r="C226" s="52" t="s">
        <v>2130</v>
      </c>
      <c r="D226" s="53" t="s">
        <v>2131</v>
      </c>
      <c r="E226" s="54" t="s">
        <v>2132</v>
      </c>
      <c r="F226" s="54" t="s">
        <v>2029</v>
      </c>
      <c r="G226" s="54" t="s">
        <v>2133</v>
      </c>
      <c r="H226" s="54" t="s">
        <v>2134</v>
      </c>
      <c r="I226" s="53" t="s">
        <v>2135</v>
      </c>
      <c r="J226" s="54" t="s">
        <v>2136</v>
      </c>
      <c r="K226" s="53" t="s">
        <v>2137</v>
      </c>
      <c r="L226" s="55" t="s">
        <v>8</v>
      </c>
      <c r="M226" s="64" t="n">
        <v>3</v>
      </c>
      <c r="N226" s="65" t="s">
        <v>2035</v>
      </c>
      <c r="O226" s="51" t="s">
        <v>95</v>
      </c>
      <c r="P226" s="54"/>
      <c r="Q226" s="54" t="s">
        <v>109</v>
      </c>
      <c r="R226" s="58" t="s">
        <v>110</v>
      </c>
      <c r="S226" s="54" t="s">
        <v>98</v>
      </c>
    </row>
    <row r="227" customFormat="false" ht="35.05" hidden="false" customHeight="false" outlineLevel="0" collapsed="false">
      <c r="A227" s="51" t="s">
        <v>2138</v>
      </c>
      <c r="B227" s="51" t="n">
        <v>223</v>
      </c>
      <c r="C227" s="52" t="s">
        <v>2139</v>
      </c>
      <c r="D227" s="53" t="s">
        <v>2140</v>
      </c>
      <c r="E227" s="54" t="s">
        <v>2141</v>
      </c>
      <c r="F227" s="54" t="s">
        <v>249</v>
      </c>
      <c r="G227" s="54" t="s">
        <v>2142</v>
      </c>
      <c r="H227" s="54" t="s">
        <v>2143</v>
      </c>
      <c r="I227" s="53" t="s">
        <v>2144</v>
      </c>
      <c r="J227" s="54" t="s">
        <v>2145</v>
      </c>
      <c r="K227" s="53" t="s">
        <v>2146</v>
      </c>
      <c r="L227" s="55" t="s">
        <v>8</v>
      </c>
      <c r="M227" s="64" t="n">
        <v>3</v>
      </c>
      <c r="N227" s="65" t="s">
        <v>2035</v>
      </c>
      <c r="O227" s="59" t="s">
        <v>161</v>
      </c>
      <c r="P227" s="54" t="s">
        <v>2147</v>
      </c>
      <c r="Q227" s="54" t="s">
        <v>516</v>
      </c>
      <c r="R227" s="58" t="s">
        <v>517</v>
      </c>
      <c r="S227" s="54" t="s">
        <v>98</v>
      </c>
    </row>
    <row r="228" customFormat="false" ht="35.05" hidden="false" customHeight="false" outlineLevel="0" collapsed="false">
      <c r="A228" s="51" t="s">
        <v>2148</v>
      </c>
      <c r="B228" s="51" t="n">
        <v>224</v>
      </c>
      <c r="C228" s="52" t="s">
        <v>2149</v>
      </c>
      <c r="D228" s="53" t="s">
        <v>2150</v>
      </c>
      <c r="E228" s="54" t="s">
        <v>2151</v>
      </c>
      <c r="F228" s="54" t="s">
        <v>548</v>
      </c>
      <c r="G228" s="54" t="s">
        <v>2152</v>
      </c>
      <c r="H228" s="54" t="s">
        <v>2153</v>
      </c>
      <c r="I228" s="53" t="s">
        <v>2154</v>
      </c>
      <c r="J228" s="54" t="s">
        <v>2155</v>
      </c>
      <c r="K228" s="53" t="s">
        <v>2156</v>
      </c>
      <c r="L228" s="55" t="s">
        <v>8</v>
      </c>
      <c r="M228" s="64" t="n">
        <v>3</v>
      </c>
      <c r="N228" s="65" t="s">
        <v>2035</v>
      </c>
      <c r="O228" s="51" t="s">
        <v>95</v>
      </c>
      <c r="P228" s="54"/>
      <c r="Q228" s="54" t="s">
        <v>131</v>
      </c>
      <c r="R228" s="58" t="s">
        <v>132</v>
      </c>
      <c r="S228" s="54" t="s">
        <v>98</v>
      </c>
    </row>
    <row r="229" customFormat="false" ht="35.05" hidden="false" customHeight="false" outlineLevel="0" collapsed="false">
      <c r="A229" s="51" t="s">
        <v>2157</v>
      </c>
      <c r="B229" s="51" t="n">
        <v>225</v>
      </c>
      <c r="C229" s="52" t="s">
        <v>2158</v>
      </c>
      <c r="D229" s="53" t="s">
        <v>2159</v>
      </c>
      <c r="E229" s="54" t="s">
        <v>2160</v>
      </c>
      <c r="F229" s="54" t="s">
        <v>249</v>
      </c>
      <c r="G229" s="54" t="s">
        <v>2161</v>
      </c>
      <c r="H229" s="54" t="s">
        <v>2162</v>
      </c>
      <c r="I229" s="53" t="s">
        <v>2163</v>
      </c>
      <c r="J229" s="54" t="s">
        <v>2164</v>
      </c>
      <c r="K229" s="53" t="s">
        <v>2165</v>
      </c>
      <c r="L229" s="55" t="s">
        <v>8</v>
      </c>
      <c r="M229" s="64" t="n">
        <v>3</v>
      </c>
      <c r="N229" s="65" t="s">
        <v>2035</v>
      </c>
      <c r="O229" s="51" t="s">
        <v>95</v>
      </c>
      <c r="P229" s="54"/>
      <c r="Q229" s="54" t="s">
        <v>96</v>
      </c>
      <c r="R229" s="58" t="s">
        <v>97</v>
      </c>
      <c r="S229" s="54" t="s">
        <v>98</v>
      </c>
    </row>
    <row r="230" customFormat="false" ht="68.65" hidden="false" customHeight="false" outlineLevel="0" collapsed="false">
      <c r="A230" s="51" t="s">
        <v>2166</v>
      </c>
      <c r="B230" s="51" t="n">
        <v>226</v>
      </c>
      <c r="C230" s="52" t="s">
        <v>2167</v>
      </c>
      <c r="D230" s="53" t="s">
        <v>2168</v>
      </c>
      <c r="E230" s="54" t="s">
        <v>2169</v>
      </c>
      <c r="F230" s="54" t="s">
        <v>2029</v>
      </c>
      <c r="G230" s="54" t="s">
        <v>2170</v>
      </c>
      <c r="H230" s="54" t="s">
        <v>2171</v>
      </c>
      <c r="I230" s="53" t="s">
        <v>2172</v>
      </c>
      <c r="J230" s="54" t="s">
        <v>2173</v>
      </c>
      <c r="K230" s="53" t="s">
        <v>2174</v>
      </c>
      <c r="L230" s="55" t="s">
        <v>8</v>
      </c>
      <c r="M230" s="64" t="n">
        <v>3</v>
      </c>
      <c r="N230" s="65" t="s">
        <v>2035</v>
      </c>
      <c r="O230" s="59" t="s">
        <v>161</v>
      </c>
      <c r="P230" s="54" t="s">
        <v>2175</v>
      </c>
      <c r="Q230" s="54" t="s">
        <v>237</v>
      </c>
      <c r="R230" s="58" t="s">
        <v>238</v>
      </c>
      <c r="S230" s="54" t="s">
        <v>98</v>
      </c>
    </row>
    <row r="231" customFormat="false" ht="35.05" hidden="false" customHeight="false" outlineLevel="0" collapsed="false">
      <c r="A231" s="51" t="s">
        <v>2176</v>
      </c>
      <c r="B231" s="51" t="n">
        <v>227</v>
      </c>
      <c r="C231" s="52" t="s">
        <v>2177</v>
      </c>
      <c r="D231" s="53" t="s">
        <v>2178</v>
      </c>
      <c r="E231" s="54" t="s">
        <v>2179</v>
      </c>
      <c r="F231" s="54" t="s">
        <v>2029</v>
      </c>
      <c r="G231" s="54" t="s">
        <v>2180</v>
      </c>
      <c r="H231" s="54" t="s">
        <v>2181</v>
      </c>
      <c r="I231" s="53" t="s">
        <v>2182</v>
      </c>
      <c r="J231" s="54" t="s">
        <v>2183</v>
      </c>
      <c r="K231" s="53" t="s">
        <v>2184</v>
      </c>
      <c r="L231" s="55" t="s">
        <v>8</v>
      </c>
      <c r="M231" s="64" t="n">
        <v>3</v>
      </c>
      <c r="N231" s="65" t="s">
        <v>2035</v>
      </c>
      <c r="O231" s="59" t="s">
        <v>161</v>
      </c>
      <c r="P231" s="54" t="s">
        <v>2185</v>
      </c>
      <c r="Q231" s="54" t="s">
        <v>516</v>
      </c>
      <c r="R231" s="58" t="s">
        <v>517</v>
      </c>
      <c r="S231" s="54" t="s">
        <v>98</v>
      </c>
    </row>
    <row r="232" customFormat="false" ht="46.25" hidden="false" customHeight="false" outlineLevel="0" collapsed="false">
      <c r="A232" s="51" t="s">
        <v>2186</v>
      </c>
      <c r="B232" s="51" t="n">
        <v>228</v>
      </c>
      <c r="C232" s="52" t="s">
        <v>2187</v>
      </c>
      <c r="D232" s="53" t="s">
        <v>2188</v>
      </c>
      <c r="E232" s="54" t="s">
        <v>2189</v>
      </c>
      <c r="F232" s="54" t="s">
        <v>548</v>
      </c>
      <c r="G232" s="54" t="s">
        <v>2190</v>
      </c>
      <c r="H232" s="54" t="s">
        <v>2191</v>
      </c>
      <c r="I232" s="53" t="s">
        <v>2192</v>
      </c>
      <c r="J232" s="54" t="s">
        <v>2193</v>
      </c>
      <c r="K232" s="53" t="s">
        <v>2194</v>
      </c>
      <c r="L232" s="55" t="s">
        <v>8</v>
      </c>
      <c r="M232" s="64" t="n">
        <v>3</v>
      </c>
      <c r="N232" s="65" t="s">
        <v>2035</v>
      </c>
      <c r="O232" s="51" t="s">
        <v>95</v>
      </c>
      <c r="P232" s="54"/>
      <c r="Q232" s="54" t="s">
        <v>109</v>
      </c>
      <c r="R232" s="58" t="s">
        <v>110</v>
      </c>
      <c r="S232" s="54" t="s">
        <v>98</v>
      </c>
    </row>
    <row r="233" customFormat="false" ht="35.05" hidden="false" customHeight="false" outlineLevel="0" collapsed="false">
      <c r="A233" s="51" t="s">
        <v>2195</v>
      </c>
      <c r="B233" s="51" t="n">
        <v>229</v>
      </c>
      <c r="C233" s="52" t="s">
        <v>2196</v>
      </c>
      <c r="D233" s="53" t="s">
        <v>2197</v>
      </c>
      <c r="E233" s="54" t="s">
        <v>2198</v>
      </c>
      <c r="F233" s="54" t="s">
        <v>548</v>
      </c>
      <c r="G233" s="54" t="s">
        <v>2199</v>
      </c>
      <c r="H233" s="54" t="s">
        <v>2200</v>
      </c>
      <c r="I233" s="53" t="s">
        <v>2201</v>
      </c>
      <c r="J233" s="54" t="s">
        <v>2202</v>
      </c>
      <c r="K233" s="53" t="s">
        <v>2203</v>
      </c>
      <c r="L233" s="55" t="s">
        <v>8</v>
      </c>
      <c r="M233" s="64" t="n">
        <v>3</v>
      </c>
      <c r="N233" s="65" t="s">
        <v>2035</v>
      </c>
      <c r="O233" s="59" t="s">
        <v>161</v>
      </c>
      <c r="P233" s="54" t="s">
        <v>2204</v>
      </c>
      <c r="Q233" s="54" t="s">
        <v>96</v>
      </c>
      <c r="R233" s="58" t="s">
        <v>97</v>
      </c>
      <c r="S233" s="54" t="s">
        <v>98</v>
      </c>
    </row>
    <row r="234" customFormat="false" ht="46.25" hidden="false" customHeight="false" outlineLevel="0" collapsed="false">
      <c r="A234" s="51" t="s">
        <v>2205</v>
      </c>
      <c r="B234" s="51" t="n">
        <v>230</v>
      </c>
      <c r="C234" s="52" t="s">
        <v>2206</v>
      </c>
      <c r="D234" s="53" t="s">
        <v>2207</v>
      </c>
      <c r="E234" s="54" t="s">
        <v>2208</v>
      </c>
      <c r="F234" s="54" t="s">
        <v>548</v>
      </c>
      <c r="G234" s="54" t="s">
        <v>2209</v>
      </c>
      <c r="H234" s="54" t="s">
        <v>2210</v>
      </c>
      <c r="I234" s="53" t="s">
        <v>2211</v>
      </c>
      <c r="J234" s="54" t="s">
        <v>2212</v>
      </c>
      <c r="K234" s="53" t="s">
        <v>2213</v>
      </c>
      <c r="L234" s="55" t="s">
        <v>8</v>
      </c>
      <c r="M234" s="64" t="n">
        <v>3</v>
      </c>
      <c r="N234" s="65" t="s">
        <v>2035</v>
      </c>
      <c r="O234" s="51" t="s">
        <v>95</v>
      </c>
      <c r="P234" s="54"/>
      <c r="Q234" s="54" t="s">
        <v>109</v>
      </c>
      <c r="R234" s="58" t="s">
        <v>110</v>
      </c>
      <c r="S234" s="54" t="s">
        <v>98</v>
      </c>
    </row>
    <row r="235" customFormat="false" ht="35.05" hidden="false" customHeight="false" outlineLevel="0" collapsed="false">
      <c r="A235" s="51" t="s">
        <v>2214</v>
      </c>
      <c r="B235" s="51" t="n">
        <v>231</v>
      </c>
      <c r="C235" s="52" t="s">
        <v>2215</v>
      </c>
      <c r="D235" s="53" t="s">
        <v>2216</v>
      </c>
      <c r="E235" s="54" t="s">
        <v>2217</v>
      </c>
      <c r="F235" s="54" t="s">
        <v>548</v>
      </c>
      <c r="G235" s="54" t="s">
        <v>2218</v>
      </c>
      <c r="H235" s="54" t="s">
        <v>2219</v>
      </c>
      <c r="I235" s="53" t="s">
        <v>2220</v>
      </c>
      <c r="J235" s="54" t="s">
        <v>2221</v>
      </c>
      <c r="K235" s="53" t="s">
        <v>2222</v>
      </c>
      <c r="L235" s="60" t="s">
        <v>9</v>
      </c>
      <c r="M235" s="64" t="n">
        <v>3</v>
      </c>
      <c r="N235" s="65" t="s">
        <v>2035</v>
      </c>
      <c r="O235" s="51" t="s">
        <v>95</v>
      </c>
      <c r="P235" s="54"/>
      <c r="Q235" s="54" t="s">
        <v>96</v>
      </c>
      <c r="R235" s="58" t="s">
        <v>97</v>
      </c>
      <c r="S235" s="54" t="s">
        <v>98</v>
      </c>
    </row>
    <row r="236" customFormat="false" ht="35.05" hidden="false" customHeight="false" outlineLevel="0" collapsed="false">
      <c r="A236" s="51" t="s">
        <v>2223</v>
      </c>
      <c r="B236" s="51" t="n">
        <v>232</v>
      </c>
      <c r="C236" s="52" t="s">
        <v>2224</v>
      </c>
      <c r="D236" s="53" t="s">
        <v>2225</v>
      </c>
      <c r="E236" s="54" t="s">
        <v>2226</v>
      </c>
      <c r="F236" s="54" t="s">
        <v>548</v>
      </c>
      <c r="G236" s="54" t="s">
        <v>2227</v>
      </c>
      <c r="H236" s="54" t="s">
        <v>2228</v>
      </c>
      <c r="I236" s="53" t="s">
        <v>2229</v>
      </c>
      <c r="J236" s="54" t="s">
        <v>2230</v>
      </c>
      <c r="K236" s="53" t="s">
        <v>2231</v>
      </c>
      <c r="L236" s="60" t="s">
        <v>9</v>
      </c>
      <c r="M236" s="64" t="n">
        <v>3</v>
      </c>
      <c r="N236" s="65" t="s">
        <v>2035</v>
      </c>
      <c r="O236" s="59" t="s">
        <v>161</v>
      </c>
      <c r="P236" s="54" t="s">
        <v>2204</v>
      </c>
      <c r="Q236" s="54" t="s">
        <v>96</v>
      </c>
      <c r="R236" s="58" t="s">
        <v>97</v>
      </c>
      <c r="S236" s="54" t="s">
        <v>98</v>
      </c>
    </row>
    <row r="237" customFormat="false" ht="46.25" hidden="false" customHeight="false" outlineLevel="0" collapsed="false">
      <c r="A237" s="51" t="s">
        <v>2232</v>
      </c>
      <c r="B237" s="51" t="n">
        <v>233</v>
      </c>
      <c r="C237" s="52" t="s">
        <v>2233</v>
      </c>
      <c r="D237" s="53" t="s">
        <v>2234</v>
      </c>
      <c r="E237" s="54" t="s">
        <v>2235</v>
      </c>
      <c r="F237" s="54" t="s">
        <v>125</v>
      </c>
      <c r="G237" s="54" t="s">
        <v>2236</v>
      </c>
      <c r="H237" s="54" t="s">
        <v>2237</v>
      </c>
      <c r="I237" s="53" t="s">
        <v>2238</v>
      </c>
      <c r="J237" s="54" t="s">
        <v>2239</v>
      </c>
      <c r="K237" s="53" t="s">
        <v>2240</v>
      </c>
      <c r="L237" s="60" t="s">
        <v>9</v>
      </c>
      <c r="M237" s="64" t="n">
        <v>3</v>
      </c>
      <c r="N237" s="65" t="s">
        <v>2035</v>
      </c>
      <c r="O237" s="51" t="s">
        <v>95</v>
      </c>
      <c r="P237" s="54"/>
      <c r="Q237" s="54" t="s">
        <v>621</v>
      </c>
      <c r="R237" s="58" t="s">
        <v>622</v>
      </c>
      <c r="S237" s="54" t="s">
        <v>98</v>
      </c>
    </row>
    <row r="238" customFormat="false" ht="35.05" hidden="false" customHeight="false" outlineLevel="0" collapsed="false">
      <c r="A238" s="51" t="s">
        <v>2241</v>
      </c>
      <c r="B238" s="51" t="n">
        <v>234</v>
      </c>
      <c r="C238" s="52" t="s">
        <v>2242</v>
      </c>
      <c r="D238" s="53" t="s">
        <v>2243</v>
      </c>
      <c r="E238" s="54" t="s">
        <v>2244</v>
      </c>
      <c r="F238" s="54" t="s">
        <v>2029</v>
      </c>
      <c r="G238" s="54" t="s">
        <v>2245</v>
      </c>
      <c r="H238" s="54" t="s">
        <v>2246</v>
      </c>
      <c r="I238" s="53" t="s">
        <v>2247</v>
      </c>
      <c r="J238" s="54" t="s">
        <v>2248</v>
      </c>
      <c r="K238" s="53" t="s">
        <v>2249</v>
      </c>
      <c r="L238" s="60" t="s">
        <v>9</v>
      </c>
      <c r="M238" s="64" t="n">
        <v>3</v>
      </c>
      <c r="N238" s="65" t="s">
        <v>2035</v>
      </c>
      <c r="O238" s="51" t="s">
        <v>95</v>
      </c>
      <c r="P238" s="54"/>
      <c r="Q238" s="54" t="s">
        <v>516</v>
      </c>
      <c r="R238" s="58" t="s">
        <v>517</v>
      </c>
      <c r="S238" s="54" t="s">
        <v>98</v>
      </c>
    </row>
    <row r="239" customFormat="false" ht="35.05" hidden="false" customHeight="false" outlineLevel="0" collapsed="false">
      <c r="A239" s="51" t="s">
        <v>2250</v>
      </c>
      <c r="B239" s="51" t="n">
        <v>235</v>
      </c>
      <c r="C239" s="52" t="s">
        <v>2251</v>
      </c>
      <c r="D239" s="53" t="s">
        <v>2252</v>
      </c>
      <c r="E239" s="54" t="s">
        <v>2253</v>
      </c>
      <c r="F239" s="54" t="s">
        <v>125</v>
      </c>
      <c r="G239" s="54" t="s">
        <v>2254</v>
      </c>
      <c r="H239" s="54" t="s">
        <v>2255</v>
      </c>
      <c r="I239" s="53" t="s">
        <v>2256</v>
      </c>
      <c r="J239" s="54" t="s">
        <v>2257</v>
      </c>
      <c r="K239" s="53" t="s">
        <v>2258</v>
      </c>
      <c r="L239" s="60" t="s">
        <v>9</v>
      </c>
      <c r="M239" s="64" t="n">
        <v>3</v>
      </c>
      <c r="N239" s="65" t="s">
        <v>2035</v>
      </c>
      <c r="O239" s="51" t="s">
        <v>95</v>
      </c>
      <c r="P239" s="54"/>
      <c r="Q239" s="54" t="s">
        <v>131</v>
      </c>
      <c r="R239" s="58" t="s">
        <v>132</v>
      </c>
      <c r="S239" s="54" t="s">
        <v>98</v>
      </c>
    </row>
    <row r="240" customFormat="false" ht="35.05" hidden="false" customHeight="false" outlineLevel="0" collapsed="false">
      <c r="A240" s="51" t="s">
        <v>2259</v>
      </c>
      <c r="B240" s="51" t="n">
        <v>236</v>
      </c>
      <c r="C240" s="52" t="s">
        <v>2260</v>
      </c>
      <c r="D240" s="53" t="s">
        <v>2261</v>
      </c>
      <c r="E240" s="54" t="s">
        <v>2262</v>
      </c>
      <c r="F240" s="54" t="s">
        <v>125</v>
      </c>
      <c r="G240" s="54" t="s">
        <v>2263</v>
      </c>
      <c r="H240" s="54" t="s">
        <v>2264</v>
      </c>
      <c r="I240" s="53" t="s">
        <v>2265</v>
      </c>
      <c r="J240" s="54" t="s">
        <v>2266</v>
      </c>
      <c r="K240" s="53" t="s">
        <v>2267</v>
      </c>
      <c r="L240" s="60" t="s">
        <v>9</v>
      </c>
      <c r="M240" s="64" t="n">
        <v>3</v>
      </c>
      <c r="N240" s="65" t="s">
        <v>2035</v>
      </c>
      <c r="O240" s="59" t="s">
        <v>161</v>
      </c>
      <c r="P240" s="54" t="s">
        <v>2268</v>
      </c>
      <c r="Q240" s="54" t="s">
        <v>131</v>
      </c>
      <c r="R240" s="58" t="s">
        <v>132</v>
      </c>
      <c r="S240" s="54" t="s">
        <v>98</v>
      </c>
    </row>
    <row r="241" customFormat="false" ht="35.05" hidden="false" customHeight="false" outlineLevel="0" collapsed="false">
      <c r="A241" s="51" t="s">
        <v>2269</v>
      </c>
      <c r="B241" s="51" t="n">
        <v>237</v>
      </c>
      <c r="C241" s="52" t="s">
        <v>2270</v>
      </c>
      <c r="D241" s="53" t="s">
        <v>2271</v>
      </c>
      <c r="E241" s="54" t="s">
        <v>2272</v>
      </c>
      <c r="F241" s="54" t="s">
        <v>2029</v>
      </c>
      <c r="G241" s="54" t="s">
        <v>2273</v>
      </c>
      <c r="H241" s="54" t="s">
        <v>2274</v>
      </c>
      <c r="I241" s="53" t="s">
        <v>2275</v>
      </c>
      <c r="J241" s="54" t="s">
        <v>2276</v>
      </c>
      <c r="K241" s="53" t="s">
        <v>2277</v>
      </c>
      <c r="L241" s="60" t="s">
        <v>9</v>
      </c>
      <c r="M241" s="64" t="n">
        <v>3</v>
      </c>
      <c r="N241" s="65" t="s">
        <v>2035</v>
      </c>
      <c r="O241" s="51" t="s">
        <v>95</v>
      </c>
      <c r="P241" s="54"/>
      <c r="Q241" s="54" t="s">
        <v>131</v>
      </c>
      <c r="R241" s="58" t="s">
        <v>132</v>
      </c>
      <c r="S241" s="54" t="s">
        <v>98</v>
      </c>
    </row>
    <row r="242" customFormat="false" ht="35.05" hidden="false" customHeight="false" outlineLevel="0" collapsed="false">
      <c r="A242" s="51" t="s">
        <v>2278</v>
      </c>
      <c r="B242" s="51" t="n">
        <v>238</v>
      </c>
      <c r="C242" s="52" t="s">
        <v>2279</v>
      </c>
      <c r="D242" s="53" t="s">
        <v>2280</v>
      </c>
      <c r="E242" s="54" t="s">
        <v>2281</v>
      </c>
      <c r="F242" s="54" t="s">
        <v>249</v>
      </c>
      <c r="G242" s="54" t="s">
        <v>2282</v>
      </c>
      <c r="H242" s="54" t="s">
        <v>2283</v>
      </c>
      <c r="I242" s="53" t="s">
        <v>2284</v>
      </c>
      <c r="J242" s="54" t="s">
        <v>2285</v>
      </c>
      <c r="K242" s="53" t="s">
        <v>2286</v>
      </c>
      <c r="L242" s="60" t="s">
        <v>9</v>
      </c>
      <c r="M242" s="64" t="n">
        <v>3</v>
      </c>
      <c r="N242" s="65" t="s">
        <v>2035</v>
      </c>
      <c r="O242" s="59" t="s">
        <v>161</v>
      </c>
      <c r="P242" s="54" t="s">
        <v>2147</v>
      </c>
      <c r="Q242" s="54" t="s">
        <v>516</v>
      </c>
      <c r="R242" s="58" t="s">
        <v>517</v>
      </c>
      <c r="S242" s="54" t="s">
        <v>98</v>
      </c>
    </row>
    <row r="243" customFormat="false" ht="35.05" hidden="false" customHeight="false" outlineLevel="0" collapsed="false">
      <c r="A243" s="51" t="s">
        <v>2287</v>
      </c>
      <c r="B243" s="51" t="n">
        <v>239</v>
      </c>
      <c r="C243" s="52" t="s">
        <v>2288</v>
      </c>
      <c r="D243" s="53" t="s">
        <v>2289</v>
      </c>
      <c r="E243" s="54" t="s">
        <v>2290</v>
      </c>
      <c r="F243" s="54" t="s">
        <v>548</v>
      </c>
      <c r="G243" s="54" t="s">
        <v>2291</v>
      </c>
      <c r="H243" s="54" t="s">
        <v>2292</v>
      </c>
      <c r="I243" s="53" t="s">
        <v>2293</v>
      </c>
      <c r="J243" s="54" t="s">
        <v>2294</v>
      </c>
      <c r="K243" s="53" t="s">
        <v>2295</v>
      </c>
      <c r="L243" s="60" t="s">
        <v>9</v>
      </c>
      <c r="M243" s="64" t="n">
        <v>3</v>
      </c>
      <c r="N243" s="65" t="s">
        <v>2035</v>
      </c>
      <c r="O243" s="51" t="s">
        <v>95</v>
      </c>
      <c r="P243" s="54"/>
      <c r="Q243" s="54" t="s">
        <v>96</v>
      </c>
      <c r="R243" s="58" t="s">
        <v>97</v>
      </c>
      <c r="S243" s="54" t="s">
        <v>98</v>
      </c>
    </row>
    <row r="244" customFormat="false" ht="35.05" hidden="false" customHeight="false" outlineLevel="0" collapsed="false">
      <c r="A244" s="51" t="s">
        <v>2296</v>
      </c>
      <c r="B244" s="51" t="n">
        <v>240</v>
      </c>
      <c r="C244" s="52" t="s">
        <v>2297</v>
      </c>
      <c r="D244" s="53" t="s">
        <v>2298</v>
      </c>
      <c r="E244" s="54" t="s">
        <v>2299</v>
      </c>
      <c r="F244" s="54" t="s">
        <v>548</v>
      </c>
      <c r="G244" s="54" t="s">
        <v>2300</v>
      </c>
      <c r="H244" s="54" t="s">
        <v>2301</v>
      </c>
      <c r="I244" s="53" t="s">
        <v>2302</v>
      </c>
      <c r="J244" s="54" t="s">
        <v>2303</v>
      </c>
      <c r="K244" s="53" t="s">
        <v>2304</v>
      </c>
      <c r="L244" s="60" t="s">
        <v>9</v>
      </c>
      <c r="M244" s="64" t="n">
        <v>3</v>
      </c>
      <c r="N244" s="65" t="s">
        <v>2035</v>
      </c>
      <c r="O244" s="51" t="s">
        <v>95</v>
      </c>
      <c r="P244" s="54"/>
      <c r="Q244" s="54" t="s">
        <v>131</v>
      </c>
      <c r="R244" s="58" t="s">
        <v>132</v>
      </c>
      <c r="S244" s="54" t="s">
        <v>98</v>
      </c>
    </row>
    <row r="245" customFormat="false" ht="46.25" hidden="false" customHeight="false" outlineLevel="0" collapsed="false">
      <c r="A245" s="51" t="s">
        <v>2305</v>
      </c>
      <c r="B245" s="51" t="n">
        <v>241</v>
      </c>
      <c r="C245" s="52" t="s">
        <v>2306</v>
      </c>
      <c r="D245" s="53" t="s">
        <v>2307</v>
      </c>
      <c r="E245" s="54" t="s">
        <v>2308</v>
      </c>
      <c r="F245" s="54" t="s">
        <v>823</v>
      </c>
      <c r="G245" s="54" t="s">
        <v>2309</v>
      </c>
      <c r="H245" s="54" t="s">
        <v>2310</v>
      </c>
      <c r="I245" s="53" t="s">
        <v>2311</v>
      </c>
      <c r="J245" s="54" t="s">
        <v>2312</v>
      </c>
      <c r="K245" s="53" t="s">
        <v>2313</v>
      </c>
      <c r="L245" s="60" t="s">
        <v>9</v>
      </c>
      <c r="M245" s="64" t="n">
        <v>3</v>
      </c>
      <c r="N245" s="65" t="s">
        <v>2035</v>
      </c>
      <c r="O245" s="51" t="s">
        <v>95</v>
      </c>
      <c r="P245" s="54"/>
      <c r="Q245" s="54" t="s">
        <v>109</v>
      </c>
      <c r="R245" s="58" t="s">
        <v>110</v>
      </c>
      <c r="S245" s="54" t="s">
        <v>98</v>
      </c>
    </row>
    <row r="246" customFormat="false" ht="35.05" hidden="false" customHeight="false" outlineLevel="0" collapsed="false">
      <c r="A246" s="51" t="s">
        <v>2314</v>
      </c>
      <c r="B246" s="51" t="n">
        <v>242</v>
      </c>
      <c r="C246" s="52" t="s">
        <v>2315</v>
      </c>
      <c r="D246" s="53" t="s">
        <v>2316</v>
      </c>
      <c r="E246" s="54" t="s">
        <v>2317</v>
      </c>
      <c r="F246" s="54" t="s">
        <v>548</v>
      </c>
      <c r="G246" s="54" t="s">
        <v>2318</v>
      </c>
      <c r="H246" s="54" t="s">
        <v>2319</v>
      </c>
      <c r="I246" s="53" t="s">
        <v>2320</v>
      </c>
      <c r="J246" s="54" t="s">
        <v>2321</v>
      </c>
      <c r="K246" s="53" t="s">
        <v>2322</v>
      </c>
      <c r="L246" s="60" t="s">
        <v>9</v>
      </c>
      <c r="M246" s="64" t="n">
        <v>3</v>
      </c>
      <c r="N246" s="65" t="s">
        <v>2035</v>
      </c>
      <c r="O246" s="51" t="s">
        <v>95</v>
      </c>
      <c r="P246" s="54"/>
      <c r="Q246" s="54" t="s">
        <v>131</v>
      </c>
      <c r="R246" s="58" t="s">
        <v>132</v>
      </c>
      <c r="S246" s="54" t="s">
        <v>98</v>
      </c>
    </row>
    <row r="247" customFormat="false" ht="35.05" hidden="false" customHeight="false" outlineLevel="0" collapsed="false">
      <c r="A247" s="51" t="s">
        <v>2323</v>
      </c>
      <c r="B247" s="51" t="n">
        <v>243</v>
      </c>
      <c r="C247" s="52" t="s">
        <v>2324</v>
      </c>
      <c r="D247" s="53" t="s">
        <v>2325</v>
      </c>
      <c r="E247" s="54" t="s">
        <v>2326</v>
      </c>
      <c r="F247" s="54" t="s">
        <v>548</v>
      </c>
      <c r="G247" s="54" t="s">
        <v>2327</v>
      </c>
      <c r="H247" s="54" t="s">
        <v>2328</v>
      </c>
      <c r="I247" s="53" t="s">
        <v>2329</v>
      </c>
      <c r="J247" s="54" t="s">
        <v>2330</v>
      </c>
      <c r="K247" s="53" t="s">
        <v>2331</v>
      </c>
      <c r="L247" s="60" t="s">
        <v>9</v>
      </c>
      <c r="M247" s="64" t="n">
        <v>3</v>
      </c>
      <c r="N247" s="65" t="s">
        <v>2035</v>
      </c>
      <c r="O247" s="51" t="s">
        <v>95</v>
      </c>
      <c r="P247" s="54"/>
      <c r="Q247" s="54" t="s">
        <v>516</v>
      </c>
      <c r="R247" s="58" t="s">
        <v>517</v>
      </c>
      <c r="S247" s="54" t="s">
        <v>98</v>
      </c>
    </row>
    <row r="248" customFormat="false" ht="35.05" hidden="false" customHeight="false" outlineLevel="0" collapsed="false">
      <c r="A248" s="51" t="s">
        <v>2332</v>
      </c>
      <c r="B248" s="51" t="n">
        <v>244</v>
      </c>
      <c r="C248" s="52" t="s">
        <v>2333</v>
      </c>
      <c r="D248" s="53" t="s">
        <v>2334</v>
      </c>
      <c r="E248" s="54" t="s">
        <v>2335</v>
      </c>
      <c r="F248" s="54" t="s">
        <v>548</v>
      </c>
      <c r="G248" s="54" t="s">
        <v>2336</v>
      </c>
      <c r="H248" s="54" t="s">
        <v>2337</v>
      </c>
      <c r="I248" s="53" t="s">
        <v>2338</v>
      </c>
      <c r="J248" s="54" t="s">
        <v>2339</v>
      </c>
      <c r="K248" s="53" t="s">
        <v>2340</v>
      </c>
      <c r="L248" s="60" t="s">
        <v>9</v>
      </c>
      <c r="M248" s="64" t="n">
        <v>3</v>
      </c>
      <c r="N248" s="65" t="s">
        <v>2035</v>
      </c>
      <c r="O248" s="51" t="s">
        <v>95</v>
      </c>
      <c r="P248" s="54"/>
      <c r="Q248" s="54" t="s">
        <v>516</v>
      </c>
      <c r="R248" s="58" t="s">
        <v>517</v>
      </c>
      <c r="S248" s="54" t="s">
        <v>98</v>
      </c>
    </row>
    <row r="249" customFormat="false" ht="35.05" hidden="false" customHeight="false" outlineLevel="0" collapsed="false">
      <c r="A249" s="51" t="s">
        <v>2341</v>
      </c>
      <c r="B249" s="51" t="n">
        <v>245</v>
      </c>
      <c r="C249" s="52" t="s">
        <v>2342</v>
      </c>
      <c r="D249" s="53" t="s">
        <v>2343</v>
      </c>
      <c r="E249" s="54" t="s">
        <v>2344</v>
      </c>
      <c r="F249" s="54" t="s">
        <v>2345</v>
      </c>
      <c r="G249" s="54" t="s">
        <v>2346</v>
      </c>
      <c r="H249" s="54" t="s">
        <v>2347</v>
      </c>
      <c r="I249" s="53" t="s">
        <v>2348</v>
      </c>
      <c r="J249" s="54" t="s">
        <v>2349</v>
      </c>
      <c r="K249" s="53" t="s">
        <v>2350</v>
      </c>
      <c r="L249" s="60" t="s">
        <v>9</v>
      </c>
      <c r="M249" s="64" t="n">
        <v>3</v>
      </c>
      <c r="N249" s="65" t="s">
        <v>2035</v>
      </c>
      <c r="O249" s="51" t="s">
        <v>95</v>
      </c>
      <c r="P249" s="54"/>
      <c r="Q249" s="54" t="s">
        <v>516</v>
      </c>
      <c r="R249" s="58" t="s">
        <v>517</v>
      </c>
      <c r="S249" s="54" t="s">
        <v>98</v>
      </c>
    </row>
    <row r="250" customFormat="false" ht="35.05" hidden="false" customHeight="false" outlineLevel="0" collapsed="false">
      <c r="A250" s="51" t="s">
        <v>2351</v>
      </c>
      <c r="B250" s="51" t="n">
        <v>246</v>
      </c>
      <c r="C250" s="52" t="s">
        <v>2352</v>
      </c>
      <c r="D250" s="53" t="s">
        <v>2353</v>
      </c>
      <c r="E250" s="54" t="s">
        <v>2354</v>
      </c>
      <c r="F250" s="54" t="s">
        <v>2345</v>
      </c>
      <c r="G250" s="54" t="s">
        <v>2355</v>
      </c>
      <c r="H250" s="54" t="s">
        <v>2356</v>
      </c>
      <c r="I250" s="53" t="s">
        <v>2357</v>
      </c>
      <c r="J250" s="54" t="s">
        <v>2358</v>
      </c>
      <c r="K250" s="53" t="s">
        <v>2359</v>
      </c>
      <c r="L250" s="60" t="s">
        <v>9</v>
      </c>
      <c r="M250" s="64" t="n">
        <v>3</v>
      </c>
      <c r="N250" s="65" t="s">
        <v>2035</v>
      </c>
      <c r="O250" s="51" t="s">
        <v>95</v>
      </c>
      <c r="P250" s="54"/>
      <c r="Q250" s="54" t="s">
        <v>96</v>
      </c>
      <c r="R250" s="58" t="s">
        <v>97</v>
      </c>
      <c r="S250" s="54" t="s">
        <v>98</v>
      </c>
    </row>
    <row r="251" customFormat="false" ht="35.05" hidden="false" customHeight="false" outlineLevel="0" collapsed="false">
      <c r="A251" s="51" t="s">
        <v>2360</v>
      </c>
      <c r="B251" s="51" t="n">
        <v>247</v>
      </c>
      <c r="C251" s="52" t="s">
        <v>2361</v>
      </c>
      <c r="D251" s="53" t="s">
        <v>2362</v>
      </c>
      <c r="E251" s="54" t="s">
        <v>2363</v>
      </c>
      <c r="F251" s="54" t="s">
        <v>2029</v>
      </c>
      <c r="G251" s="54" t="s">
        <v>2364</v>
      </c>
      <c r="H251" s="54" t="s">
        <v>2365</v>
      </c>
      <c r="I251" s="53" t="s">
        <v>2366</v>
      </c>
      <c r="J251" s="54" t="s">
        <v>2367</v>
      </c>
      <c r="K251" s="53" t="s">
        <v>2368</v>
      </c>
      <c r="L251" s="60" t="s">
        <v>9</v>
      </c>
      <c r="M251" s="64" t="n">
        <v>3</v>
      </c>
      <c r="N251" s="65" t="s">
        <v>2035</v>
      </c>
      <c r="O251" s="59" t="s">
        <v>161</v>
      </c>
      <c r="P251" s="54" t="s">
        <v>2185</v>
      </c>
      <c r="Q251" s="54" t="s">
        <v>516</v>
      </c>
      <c r="R251" s="58" t="s">
        <v>517</v>
      </c>
      <c r="S251" s="54" t="s">
        <v>98</v>
      </c>
    </row>
    <row r="252" customFormat="false" ht="35.05" hidden="false" customHeight="false" outlineLevel="0" collapsed="false">
      <c r="A252" s="51" t="s">
        <v>2369</v>
      </c>
      <c r="B252" s="51" t="n">
        <v>248</v>
      </c>
      <c r="C252" s="52" t="s">
        <v>2370</v>
      </c>
      <c r="D252" s="53" t="s">
        <v>2371</v>
      </c>
      <c r="E252" s="54" t="s">
        <v>2372</v>
      </c>
      <c r="F252" s="54" t="s">
        <v>2029</v>
      </c>
      <c r="G252" s="54" t="s">
        <v>2373</v>
      </c>
      <c r="H252" s="54" t="s">
        <v>2374</v>
      </c>
      <c r="I252" s="53" t="s">
        <v>2375</v>
      </c>
      <c r="J252" s="54" t="s">
        <v>2376</v>
      </c>
      <c r="K252" s="53" t="s">
        <v>2377</v>
      </c>
      <c r="L252" s="60" t="s">
        <v>9</v>
      </c>
      <c r="M252" s="64" t="n">
        <v>3</v>
      </c>
      <c r="N252" s="65" t="s">
        <v>2035</v>
      </c>
      <c r="O252" s="51" t="s">
        <v>95</v>
      </c>
      <c r="P252" s="54"/>
      <c r="Q252" s="54" t="s">
        <v>96</v>
      </c>
      <c r="R252" s="58" t="s">
        <v>97</v>
      </c>
      <c r="S252" s="54" t="s">
        <v>98</v>
      </c>
    </row>
    <row r="253" customFormat="false" ht="35.05" hidden="false" customHeight="false" outlineLevel="0" collapsed="false">
      <c r="A253" s="51" t="s">
        <v>2378</v>
      </c>
      <c r="B253" s="51" t="n">
        <v>249</v>
      </c>
      <c r="C253" s="52" t="s">
        <v>2379</v>
      </c>
      <c r="D253" s="53" t="s">
        <v>2380</v>
      </c>
      <c r="E253" s="54" t="s">
        <v>2381</v>
      </c>
      <c r="F253" s="54" t="s">
        <v>548</v>
      </c>
      <c r="G253" s="54" t="s">
        <v>2382</v>
      </c>
      <c r="H253" s="54" t="s">
        <v>2383</v>
      </c>
      <c r="I253" s="53" t="s">
        <v>2384</v>
      </c>
      <c r="J253" s="54" t="s">
        <v>2385</v>
      </c>
      <c r="K253" s="53" t="s">
        <v>2386</v>
      </c>
      <c r="L253" s="60" t="s">
        <v>9</v>
      </c>
      <c r="M253" s="64" t="n">
        <v>3</v>
      </c>
      <c r="N253" s="65" t="s">
        <v>2035</v>
      </c>
      <c r="O253" s="51" t="s">
        <v>95</v>
      </c>
      <c r="P253" s="54"/>
      <c r="Q253" s="54" t="s">
        <v>131</v>
      </c>
      <c r="R253" s="58" t="s">
        <v>132</v>
      </c>
      <c r="S253" s="54" t="s">
        <v>98</v>
      </c>
    </row>
    <row r="254" customFormat="false" ht="35.05" hidden="false" customHeight="false" outlineLevel="0" collapsed="false">
      <c r="A254" s="51" t="s">
        <v>2387</v>
      </c>
      <c r="B254" s="51" t="n">
        <v>250</v>
      </c>
      <c r="C254" s="52" t="s">
        <v>2388</v>
      </c>
      <c r="D254" s="53" t="s">
        <v>2389</v>
      </c>
      <c r="E254" s="54" t="s">
        <v>2390</v>
      </c>
      <c r="F254" s="54" t="s">
        <v>289</v>
      </c>
      <c r="G254" s="54" t="s">
        <v>2391</v>
      </c>
      <c r="H254" s="54" t="s">
        <v>2392</v>
      </c>
      <c r="I254" s="53" t="s">
        <v>2393</v>
      </c>
      <c r="J254" s="54" t="s">
        <v>2394</v>
      </c>
      <c r="K254" s="53" t="s">
        <v>2395</v>
      </c>
      <c r="L254" s="60" t="s">
        <v>9</v>
      </c>
      <c r="M254" s="64" t="n">
        <v>3</v>
      </c>
      <c r="N254" s="65" t="s">
        <v>2035</v>
      </c>
      <c r="O254" s="51" t="s">
        <v>95</v>
      </c>
      <c r="P254" s="54"/>
      <c r="Q254" s="54" t="s">
        <v>516</v>
      </c>
      <c r="R254" s="58" t="s">
        <v>517</v>
      </c>
      <c r="S254" s="54" t="s">
        <v>98</v>
      </c>
    </row>
    <row r="255" customFormat="false" ht="35.05" hidden="false" customHeight="false" outlineLevel="0" collapsed="false">
      <c r="A255" s="51" t="s">
        <v>2396</v>
      </c>
      <c r="B255" s="51" t="n">
        <v>251</v>
      </c>
      <c r="C255" s="52" t="s">
        <v>2397</v>
      </c>
      <c r="D255" s="53" t="s">
        <v>2398</v>
      </c>
      <c r="E255" s="54" t="s">
        <v>2399</v>
      </c>
      <c r="F255" s="54" t="s">
        <v>548</v>
      </c>
      <c r="G255" s="54" t="s">
        <v>2400</v>
      </c>
      <c r="H255" s="54" t="s">
        <v>2401</v>
      </c>
      <c r="I255" s="53" t="s">
        <v>2402</v>
      </c>
      <c r="J255" s="54" t="s">
        <v>2403</v>
      </c>
      <c r="K255" s="53" t="s">
        <v>2404</v>
      </c>
      <c r="L255" s="60" t="s">
        <v>9</v>
      </c>
      <c r="M255" s="64" t="n">
        <v>3</v>
      </c>
      <c r="N255" s="65" t="s">
        <v>2035</v>
      </c>
      <c r="O255" s="51" t="s">
        <v>95</v>
      </c>
      <c r="P255" s="54"/>
      <c r="Q255" s="54" t="s">
        <v>131</v>
      </c>
      <c r="R255" s="58" t="s">
        <v>132</v>
      </c>
      <c r="S255" s="54" t="s">
        <v>98</v>
      </c>
    </row>
    <row r="256" customFormat="false" ht="35.05" hidden="false" customHeight="false" outlineLevel="0" collapsed="false">
      <c r="A256" s="51" t="s">
        <v>2405</v>
      </c>
      <c r="B256" s="51" t="n">
        <v>252</v>
      </c>
      <c r="C256" s="52" t="s">
        <v>2406</v>
      </c>
      <c r="D256" s="53" t="s">
        <v>2407</v>
      </c>
      <c r="E256" s="54" t="s">
        <v>2408</v>
      </c>
      <c r="F256" s="54" t="s">
        <v>548</v>
      </c>
      <c r="G256" s="54" t="s">
        <v>2409</v>
      </c>
      <c r="H256" s="54" t="s">
        <v>2410</v>
      </c>
      <c r="I256" s="53" t="s">
        <v>2411</v>
      </c>
      <c r="J256" s="54" t="s">
        <v>2412</v>
      </c>
      <c r="K256" s="53" t="s">
        <v>2413</v>
      </c>
      <c r="L256" s="60" t="s">
        <v>9</v>
      </c>
      <c r="M256" s="64" t="n">
        <v>3</v>
      </c>
      <c r="N256" s="65" t="s">
        <v>2035</v>
      </c>
      <c r="O256" s="51" t="s">
        <v>95</v>
      </c>
      <c r="P256" s="54"/>
      <c r="Q256" s="54" t="s">
        <v>516</v>
      </c>
      <c r="R256" s="58" t="s">
        <v>517</v>
      </c>
      <c r="S256" s="54" t="s">
        <v>98</v>
      </c>
    </row>
    <row r="257" customFormat="false" ht="35.05" hidden="false" customHeight="false" outlineLevel="0" collapsed="false">
      <c r="A257" s="51" t="s">
        <v>2414</v>
      </c>
      <c r="B257" s="51" t="n">
        <v>253</v>
      </c>
      <c r="C257" s="52" t="s">
        <v>2415</v>
      </c>
      <c r="D257" s="53" t="s">
        <v>2416</v>
      </c>
      <c r="E257" s="54" t="s">
        <v>2417</v>
      </c>
      <c r="F257" s="54" t="s">
        <v>548</v>
      </c>
      <c r="G257" s="54" t="s">
        <v>2418</v>
      </c>
      <c r="H257" s="54" t="s">
        <v>2419</v>
      </c>
      <c r="I257" s="53" t="s">
        <v>2420</v>
      </c>
      <c r="J257" s="54" t="s">
        <v>2421</v>
      </c>
      <c r="K257" s="53" t="s">
        <v>2422</v>
      </c>
      <c r="L257" s="60" t="s">
        <v>9</v>
      </c>
      <c r="M257" s="64" t="n">
        <v>3</v>
      </c>
      <c r="N257" s="65" t="s">
        <v>2035</v>
      </c>
      <c r="O257" s="51" t="s">
        <v>95</v>
      </c>
      <c r="P257" s="54"/>
      <c r="Q257" s="54" t="s">
        <v>131</v>
      </c>
      <c r="R257" s="58" t="s">
        <v>132</v>
      </c>
      <c r="S257" s="54" t="s">
        <v>98</v>
      </c>
    </row>
    <row r="258" customFormat="false" ht="68.65" hidden="false" customHeight="false" outlineLevel="0" collapsed="false">
      <c r="A258" s="51" t="s">
        <v>2423</v>
      </c>
      <c r="B258" s="51" t="n">
        <v>254</v>
      </c>
      <c r="C258" s="52" t="s">
        <v>2424</v>
      </c>
      <c r="D258" s="53" t="s">
        <v>2425</v>
      </c>
      <c r="E258" s="54" t="s">
        <v>2426</v>
      </c>
      <c r="F258" s="54" t="s">
        <v>548</v>
      </c>
      <c r="G258" s="54" t="s">
        <v>2427</v>
      </c>
      <c r="H258" s="54" t="s">
        <v>2428</v>
      </c>
      <c r="I258" s="53" t="s">
        <v>2429</v>
      </c>
      <c r="J258" s="54" t="s">
        <v>2430</v>
      </c>
      <c r="K258" s="53" t="s">
        <v>2431</v>
      </c>
      <c r="L258" s="60" t="s">
        <v>9</v>
      </c>
      <c r="M258" s="64" t="n">
        <v>3</v>
      </c>
      <c r="N258" s="65" t="s">
        <v>2035</v>
      </c>
      <c r="O258" s="59" t="s">
        <v>161</v>
      </c>
      <c r="P258" s="54" t="s">
        <v>2432</v>
      </c>
      <c r="Q258" s="54" t="s">
        <v>237</v>
      </c>
      <c r="R258" s="58" t="s">
        <v>238</v>
      </c>
      <c r="S258" s="54" t="s">
        <v>98</v>
      </c>
    </row>
    <row r="259" customFormat="false" ht="35.05" hidden="false" customHeight="false" outlineLevel="0" collapsed="false">
      <c r="A259" s="51" t="s">
        <v>2433</v>
      </c>
      <c r="B259" s="51" t="n">
        <v>255</v>
      </c>
      <c r="C259" s="52" t="s">
        <v>2434</v>
      </c>
      <c r="D259" s="53" t="s">
        <v>2435</v>
      </c>
      <c r="E259" s="54" t="s">
        <v>2436</v>
      </c>
      <c r="F259" s="54" t="s">
        <v>548</v>
      </c>
      <c r="G259" s="54" t="s">
        <v>2437</v>
      </c>
      <c r="H259" s="54" t="s">
        <v>2438</v>
      </c>
      <c r="I259" s="53" t="s">
        <v>2439</v>
      </c>
      <c r="J259" s="54" t="s">
        <v>2440</v>
      </c>
      <c r="K259" s="53" t="s">
        <v>2441</v>
      </c>
      <c r="L259" s="60" t="s">
        <v>9</v>
      </c>
      <c r="M259" s="64" t="n">
        <v>3</v>
      </c>
      <c r="N259" s="65" t="s">
        <v>2035</v>
      </c>
      <c r="O259" s="51" t="s">
        <v>95</v>
      </c>
      <c r="P259" s="54"/>
      <c r="Q259" s="54" t="s">
        <v>131</v>
      </c>
      <c r="R259" s="58" t="s">
        <v>132</v>
      </c>
      <c r="S259" s="54" t="s">
        <v>98</v>
      </c>
    </row>
    <row r="260" customFormat="false" ht="35.05" hidden="false" customHeight="false" outlineLevel="0" collapsed="false">
      <c r="A260" s="51" t="s">
        <v>2442</v>
      </c>
      <c r="B260" s="51" t="n">
        <v>256</v>
      </c>
      <c r="C260" s="52" t="s">
        <v>2443</v>
      </c>
      <c r="D260" s="53" t="s">
        <v>2444</v>
      </c>
      <c r="E260" s="54" t="s">
        <v>2445</v>
      </c>
      <c r="F260" s="54" t="s">
        <v>548</v>
      </c>
      <c r="G260" s="54" t="s">
        <v>2446</v>
      </c>
      <c r="H260" s="54" t="s">
        <v>2447</v>
      </c>
      <c r="I260" s="53" t="s">
        <v>2448</v>
      </c>
      <c r="J260" s="54" t="s">
        <v>2449</v>
      </c>
      <c r="K260" s="53" t="s">
        <v>2450</v>
      </c>
      <c r="L260" s="60" t="s">
        <v>9</v>
      </c>
      <c r="M260" s="64" t="n">
        <v>3</v>
      </c>
      <c r="N260" s="65" t="s">
        <v>2035</v>
      </c>
      <c r="O260" s="59" t="s">
        <v>161</v>
      </c>
      <c r="P260" s="54" t="s">
        <v>2204</v>
      </c>
      <c r="Q260" s="54" t="s">
        <v>96</v>
      </c>
      <c r="R260" s="58" t="s">
        <v>97</v>
      </c>
      <c r="S260" s="54" t="s">
        <v>98</v>
      </c>
    </row>
    <row r="261" customFormat="false" ht="35.05" hidden="false" customHeight="false" outlineLevel="0" collapsed="false">
      <c r="A261" s="51" t="s">
        <v>2451</v>
      </c>
      <c r="B261" s="51" t="n">
        <v>257</v>
      </c>
      <c r="C261" s="52" t="s">
        <v>2452</v>
      </c>
      <c r="D261" s="53" t="s">
        <v>2453</v>
      </c>
      <c r="E261" s="54" t="s">
        <v>2454</v>
      </c>
      <c r="F261" s="54" t="s">
        <v>548</v>
      </c>
      <c r="G261" s="54" t="s">
        <v>2455</v>
      </c>
      <c r="H261" s="54" t="s">
        <v>2456</v>
      </c>
      <c r="I261" s="53" t="s">
        <v>2457</v>
      </c>
      <c r="J261" s="54" t="s">
        <v>2458</v>
      </c>
      <c r="K261" s="53" t="s">
        <v>2459</v>
      </c>
      <c r="L261" s="60" t="s">
        <v>9</v>
      </c>
      <c r="M261" s="64" t="n">
        <v>3</v>
      </c>
      <c r="N261" s="65" t="s">
        <v>2035</v>
      </c>
      <c r="O261" s="51" t="s">
        <v>95</v>
      </c>
      <c r="P261" s="54"/>
      <c r="Q261" s="54" t="s">
        <v>96</v>
      </c>
      <c r="R261" s="58" t="s">
        <v>97</v>
      </c>
      <c r="S261" s="54" t="s">
        <v>98</v>
      </c>
    </row>
    <row r="262" customFormat="false" ht="46.25" hidden="false" customHeight="false" outlineLevel="0" collapsed="false">
      <c r="A262" s="51" t="s">
        <v>2460</v>
      </c>
      <c r="B262" s="51" t="n">
        <v>258</v>
      </c>
      <c r="C262" s="52" t="s">
        <v>2461</v>
      </c>
      <c r="D262" s="53" t="s">
        <v>2462</v>
      </c>
      <c r="E262" s="54" t="s">
        <v>2463</v>
      </c>
      <c r="F262" s="54" t="s">
        <v>548</v>
      </c>
      <c r="G262" s="54" t="s">
        <v>2464</v>
      </c>
      <c r="H262" s="54" t="s">
        <v>2465</v>
      </c>
      <c r="I262" s="53" t="s">
        <v>2466</v>
      </c>
      <c r="J262" s="54" t="s">
        <v>2467</v>
      </c>
      <c r="K262" s="53" t="s">
        <v>2468</v>
      </c>
      <c r="L262" s="60" t="s">
        <v>9</v>
      </c>
      <c r="M262" s="64" t="n">
        <v>3</v>
      </c>
      <c r="N262" s="65" t="s">
        <v>2035</v>
      </c>
      <c r="O262" s="51" t="s">
        <v>95</v>
      </c>
      <c r="P262" s="54"/>
      <c r="Q262" s="54" t="s">
        <v>96</v>
      </c>
      <c r="R262" s="58" t="s">
        <v>97</v>
      </c>
      <c r="S262" s="54" t="s">
        <v>2469</v>
      </c>
    </row>
    <row r="263" customFormat="false" ht="35.05" hidden="false" customHeight="false" outlineLevel="0" collapsed="false">
      <c r="A263" s="51" t="s">
        <v>2470</v>
      </c>
      <c r="B263" s="51" t="n">
        <v>259</v>
      </c>
      <c r="C263" s="52" t="s">
        <v>2471</v>
      </c>
      <c r="D263" s="53" t="s">
        <v>2472</v>
      </c>
      <c r="E263" s="54" t="s">
        <v>2473</v>
      </c>
      <c r="F263" s="54" t="s">
        <v>2029</v>
      </c>
      <c r="G263" s="54" t="s">
        <v>2474</v>
      </c>
      <c r="H263" s="54" t="s">
        <v>2475</v>
      </c>
      <c r="I263" s="53" t="s">
        <v>2476</v>
      </c>
      <c r="J263" s="54" t="s">
        <v>2477</v>
      </c>
      <c r="K263" s="53" t="s">
        <v>2478</v>
      </c>
      <c r="L263" s="60" t="s">
        <v>9</v>
      </c>
      <c r="M263" s="64" t="n">
        <v>3</v>
      </c>
      <c r="N263" s="65" t="s">
        <v>2035</v>
      </c>
      <c r="O263" s="59" t="s">
        <v>161</v>
      </c>
      <c r="P263" s="54" t="s">
        <v>304</v>
      </c>
      <c r="Q263" s="54" t="s">
        <v>96</v>
      </c>
      <c r="R263" s="58" t="s">
        <v>97</v>
      </c>
      <c r="S263" s="54" t="s">
        <v>98</v>
      </c>
    </row>
    <row r="264" customFormat="false" ht="35.05" hidden="false" customHeight="false" outlineLevel="0" collapsed="false">
      <c r="A264" s="51" t="s">
        <v>2479</v>
      </c>
      <c r="B264" s="51" t="n">
        <v>260</v>
      </c>
      <c r="C264" s="52" t="s">
        <v>2480</v>
      </c>
      <c r="D264" s="53" t="s">
        <v>2481</v>
      </c>
      <c r="E264" s="54" t="s">
        <v>2482</v>
      </c>
      <c r="F264" s="54" t="s">
        <v>548</v>
      </c>
      <c r="G264" s="54" t="s">
        <v>2483</v>
      </c>
      <c r="H264" s="54" t="s">
        <v>2484</v>
      </c>
      <c r="I264" s="53" t="s">
        <v>2485</v>
      </c>
      <c r="J264" s="54" t="s">
        <v>2486</v>
      </c>
      <c r="K264" s="53" t="s">
        <v>2487</v>
      </c>
      <c r="L264" s="60" t="s">
        <v>9</v>
      </c>
      <c r="M264" s="64" t="n">
        <v>3</v>
      </c>
      <c r="N264" s="65" t="s">
        <v>2035</v>
      </c>
      <c r="O264" s="51" t="s">
        <v>95</v>
      </c>
      <c r="P264" s="54"/>
      <c r="Q264" s="54" t="s">
        <v>131</v>
      </c>
      <c r="R264" s="58" t="s">
        <v>132</v>
      </c>
      <c r="S264" s="54" t="s">
        <v>98</v>
      </c>
    </row>
    <row r="265" customFormat="false" ht="35.05" hidden="false" customHeight="false" outlineLevel="0" collapsed="false">
      <c r="A265" s="51" t="s">
        <v>2488</v>
      </c>
      <c r="B265" s="51" t="n">
        <v>261</v>
      </c>
      <c r="C265" s="52" t="s">
        <v>2489</v>
      </c>
      <c r="D265" s="53" t="s">
        <v>2490</v>
      </c>
      <c r="E265" s="54" t="s">
        <v>2491</v>
      </c>
      <c r="F265" s="54" t="s">
        <v>823</v>
      </c>
      <c r="G265" s="54" t="s">
        <v>2492</v>
      </c>
      <c r="H265" s="54" t="s">
        <v>2493</v>
      </c>
      <c r="I265" s="53" t="s">
        <v>2494</v>
      </c>
      <c r="J265" s="54" t="s">
        <v>2495</v>
      </c>
      <c r="K265" s="53" t="s">
        <v>2496</v>
      </c>
      <c r="L265" s="60" t="s">
        <v>9</v>
      </c>
      <c r="M265" s="64" t="n">
        <v>3</v>
      </c>
      <c r="N265" s="65" t="s">
        <v>2035</v>
      </c>
      <c r="O265" s="51" t="s">
        <v>95</v>
      </c>
      <c r="P265" s="54"/>
      <c r="Q265" s="54" t="s">
        <v>131</v>
      </c>
      <c r="R265" s="58" t="s">
        <v>132</v>
      </c>
      <c r="S265" s="54" t="s">
        <v>98</v>
      </c>
    </row>
    <row r="266" customFormat="false" ht="35.05" hidden="false" customHeight="false" outlineLevel="0" collapsed="false">
      <c r="A266" s="51" t="s">
        <v>2497</v>
      </c>
      <c r="B266" s="51" t="n">
        <v>262</v>
      </c>
      <c r="C266" s="52" t="s">
        <v>2498</v>
      </c>
      <c r="D266" s="53" t="s">
        <v>2499</v>
      </c>
      <c r="E266" s="54" t="s">
        <v>2500</v>
      </c>
      <c r="F266" s="54" t="s">
        <v>2029</v>
      </c>
      <c r="G266" s="54" t="s">
        <v>2501</v>
      </c>
      <c r="H266" s="54" t="s">
        <v>2502</v>
      </c>
      <c r="I266" s="53" t="s">
        <v>2503</v>
      </c>
      <c r="J266" s="54" t="s">
        <v>2504</v>
      </c>
      <c r="K266" s="53" t="s">
        <v>2505</v>
      </c>
      <c r="L266" s="60" t="s">
        <v>9</v>
      </c>
      <c r="M266" s="64" t="n">
        <v>3</v>
      </c>
      <c r="N266" s="65" t="s">
        <v>2035</v>
      </c>
      <c r="O266" s="59" t="s">
        <v>161</v>
      </c>
      <c r="P266" s="54" t="s">
        <v>304</v>
      </c>
      <c r="Q266" s="54" t="s">
        <v>131</v>
      </c>
      <c r="R266" s="58" t="s">
        <v>132</v>
      </c>
      <c r="S266" s="54" t="s">
        <v>98</v>
      </c>
    </row>
    <row r="267" customFormat="false" ht="35.05" hidden="false" customHeight="false" outlineLevel="0" collapsed="false">
      <c r="A267" s="51" t="s">
        <v>2506</v>
      </c>
      <c r="B267" s="51" t="n">
        <v>263</v>
      </c>
      <c r="C267" s="52" t="s">
        <v>2507</v>
      </c>
      <c r="D267" s="53" t="s">
        <v>2508</v>
      </c>
      <c r="E267" s="54" t="s">
        <v>2509</v>
      </c>
      <c r="F267" s="54" t="s">
        <v>548</v>
      </c>
      <c r="G267" s="54" t="s">
        <v>2510</v>
      </c>
      <c r="H267" s="54" t="s">
        <v>2511</v>
      </c>
      <c r="I267" s="53" t="s">
        <v>2512</v>
      </c>
      <c r="J267" s="54" t="s">
        <v>2513</v>
      </c>
      <c r="K267" s="53" t="s">
        <v>2514</v>
      </c>
      <c r="L267" s="60" t="s">
        <v>9</v>
      </c>
      <c r="M267" s="64" t="n">
        <v>3</v>
      </c>
      <c r="N267" s="65" t="s">
        <v>2035</v>
      </c>
      <c r="O267" s="59" t="s">
        <v>161</v>
      </c>
      <c r="P267" s="54" t="s">
        <v>554</v>
      </c>
      <c r="Q267" s="54" t="s">
        <v>131</v>
      </c>
      <c r="R267" s="58" t="s">
        <v>132</v>
      </c>
      <c r="S267" s="54" t="s">
        <v>98</v>
      </c>
    </row>
    <row r="268" customFormat="false" ht="68.65" hidden="false" customHeight="false" outlineLevel="0" collapsed="false">
      <c r="A268" s="51" t="s">
        <v>2515</v>
      </c>
      <c r="B268" s="51" t="n">
        <v>264</v>
      </c>
      <c r="C268" s="52" t="s">
        <v>2516</v>
      </c>
      <c r="D268" s="53" t="s">
        <v>2517</v>
      </c>
      <c r="E268" s="54" t="s">
        <v>2518</v>
      </c>
      <c r="F268" s="54" t="s">
        <v>548</v>
      </c>
      <c r="G268" s="54" t="s">
        <v>2519</v>
      </c>
      <c r="H268" s="54" t="s">
        <v>2520</v>
      </c>
      <c r="I268" s="53" t="s">
        <v>2521</v>
      </c>
      <c r="J268" s="54" t="s">
        <v>2522</v>
      </c>
      <c r="K268" s="53" t="s">
        <v>2523</v>
      </c>
      <c r="L268" s="60" t="s">
        <v>9</v>
      </c>
      <c r="M268" s="64" t="n">
        <v>3</v>
      </c>
      <c r="N268" s="65" t="s">
        <v>2035</v>
      </c>
      <c r="O268" s="51" t="s">
        <v>95</v>
      </c>
      <c r="P268" s="54"/>
      <c r="Q268" s="54" t="s">
        <v>237</v>
      </c>
      <c r="R268" s="58" t="s">
        <v>238</v>
      </c>
      <c r="S268" s="54" t="s">
        <v>98</v>
      </c>
    </row>
    <row r="269" customFormat="false" ht="35.05" hidden="false" customHeight="false" outlineLevel="0" collapsed="false">
      <c r="A269" s="51" t="s">
        <v>2524</v>
      </c>
      <c r="B269" s="51" t="n">
        <v>265</v>
      </c>
      <c r="C269" s="52" t="s">
        <v>2525</v>
      </c>
      <c r="D269" s="53" t="s">
        <v>2526</v>
      </c>
      <c r="E269" s="54" t="s">
        <v>2527</v>
      </c>
      <c r="F269" s="54" t="s">
        <v>548</v>
      </c>
      <c r="G269" s="54" t="s">
        <v>2528</v>
      </c>
      <c r="H269" s="54" t="s">
        <v>2529</v>
      </c>
      <c r="I269" s="53" t="s">
        <v>2530</v>
      </c>
      <c r="J269" s="54" t="s">
        <v>2531</v>
      </c>
      <c r="K269" s="53" t="s">
        <v>2532</v>
      </c>
      <c r="L269" s="60" t="s">
        <v>9</v>
      </c>
      <c r="M269" s="64" t="n">
        <v>3</v>
      </c>
      <c r="N269" s="65" t="s">
        <v>2035</v>
      </c>
      <c r="O269" s="51" t="s">
        <v>95</v>
      </c>
      <c r="P269" s="54"/>
      <c r="Q269" s="54" t="s">
        <v>96</v>
      </c>
      <c r="R269" s="58" t="s">
        <v>97</v>
      </c>
      <c r="S269" s="54" t="s">
        <v>98</v>
      </c>
    </row>
    <row r="270" customFormat="false" ht="35.05" hidden="false" customHeight="false" outlineLevel="0" collapsed="false">
      <c r="A270" s="51" t="s">
        <v>2533</v>
      </c>
      <c r="B270" s="51" t="n">
        <v>266</v>
      </c>
      <c r="C270" s="52" t="s">
        <v>2534</v>
      </c>
      <c r="D270" s="53" t="s">
        <v>2535</v>
      </c>
      <c r="E270" s="54" t="s">
        <v>2536</v>
      </c>
      <c r="F270" s="54" t="s">
        <v>2537</v>
      </c>
      <c r="G270" s="54" t="s">
        <v>2538</v>
      </c>
      <c r="H270" s="54" t="s">
        <v>2539</v>
      </c>
      <c r="I270" s="53" t="s">
        <v>2540</v>
      </c>
      <c r="J270" s="54" t="s">
        <v>2541</v>
      </c>
      <c r="K270" s="53" t="s">
        <v>2542</v>
      </c>
      <c r="L270" s="61" t="s">
        <v>10</v>
      </c>
      <c r="M270" s="64" t="n">
        <v>3</v>
      </c>
      <c r="N270" s="65" t="s">
        <v>2035</v>
      </c>
      <c r="O270" s="51" t="s">
        <v>95</v>
      </c>
      <c r="P270" s="54"/>
      <c r="Q270" s="54" t="s">
        <v>516</v>
      </c>
      <c r="R270" s="58" t="s">
        <v>517</v>
      </c>
      <c r="S270" s="54" t="s">
        <v>98</v>
      </c>
    </row>
    <row r="271" customFormat="false" ht="35.05" hidden="false" customHeight="false" outlineLevel="0" collapsed="false">
      <c r="A271" s="51" t="s">
        <v>2543</v>
      </c>
      <c r="B271" s="51" t="n">
        <v>267</v>
      </c>
      <c r="C271" s="52" t="s">
        <v>2544</v>
      </c>
      <c r="D271" s="53" t="s">
        <v>2545</v>
      </c>
      <c r="E271" s="54" t="s">
        <v>2546</v>
      </c>
      <c r="F271" s="54" t="s">
        <v>2029</v>
      </c>
      <c r="G271" s="54" t="s">
        <v>2547</v>
      </c>
      <c r="H271" s="54" t="s">
        <v>2548</v>
      </c>
      <c r="I271" s="53" t="s">
        <v>2549</v>
      </c>
      <c r="J271" s="54" t="s">
        <v>2550</v>
      </c>
      <c r="K271" s="53" t="s">
        <v>2551</v>
      </c>
      <c r="L271" s="61" t="s">
        <v>10</v>
      </c>
      <c r="M271" s="64" t="n">
        <v>3</v>
      </c>
      <c r="N271" s="65" t="s">
        <v>2035</v>
      </c>
      <c r="O271" s="51" t="s">
        <v>95</v>
      </c>
      <c r="P271" s="54"/>
      <c r="Q271" s="54" t="s">
        <v>516</v>
      </c>
      <c r="R271" s="58" t="s">
        <v>517</v>
      </c>
      <c r="S271" s="54" t="s">
        <v>98</v>
      </c>
    </row>
    <row r="272" customFormat="false" ht="35.05" hidden="false" customHeight="false" outlineLevel="0" collapsed="false">
      <c r="A272" s="51" t="s">
        <v>2552</v>
      </c>
      <c r="B272" s="51" t="n">
        <v>268</v>
      </c>
      <c r="C272" s="52" t="s">
        <v>2553</v>
      </c>
      <c r="D272" s="53" t="s">
        <v>2554</v>
      </c>
      <c r="E272" s="54" t="s">
        <v>2555</v>
      </c>
      <c r="F272" s="54" t="s">
        <v>823</v>
      </c>
      <c r="G272" s="54" t="s">
        <v>2556</v>
      </c>
      <c r="H272" s="54" t="s">
        <v>2557</v>
      </c>
      <c r="I272" s="53" t="s">
        <v>2558</v>
      </c>
      <c r="J272" s="54" t="s">
        <v>2559</v>
      </c>
      <c r="K272" s="53" t="s">
        <v>2560</v>
      </c>
      <c r="L272" s="61" t="s">
        <v>10</v>
      </c>
      <c r="M272" s="64" t="n">
        <v>3</v>
      </c>
      <c r="N272" s="65" t="s">
        <v>2035</v>
      </c>
      <c r="O272" s="51" t="s">
        <v>95</v>
      </c>
      <c r="P272" s="54"/>
      <c r="Q272" s="54" t="s">
        <v>516</v>
      </c>
      <c r="R272" s="58" t="s">
        <v>517</v>
      </c>
      <c r="S272" s="54" t="s">
        <v>98</v>
      </c>
    </row>
    <row r="273" customFormat="false" ht="35.05" hidden="false" customHeight="false" outlineLevel="0" collapsed="false">
      <c r="A273" s="51" t="s">
        <v>2561</v>
      </c>
      <c r="B273" s="51" t="n">
        <v>269</v>
      </c>
      <c r="C273" s="52" t="s">
        <v>2562</v>
      </c>
      <c r="D273" s="53" t="s">
        <v>2563</v>
      </c>
      <c r="E273" s="54" t="s">
        <v>2564</v>
      </c>
      <c r="F273" s="54" t="s">
        <v>125</v>
      </c>
      <c r="G273" s="54" t="s">
        <v>2565</v>
      </c>
      <c r="H273" s="54" t="s">
        <v>2566</v>
      </c>
      <c r="I273" s="53" t="s">
        <v>2567</v>
      </c>
      <c r="J273" s="54" t="s">
        <v>2568</v>
      </c>
      <c r="K273" s="53" t="s">
        <v>2569</v>
      </c>
      <c r="L273" s="61" t="s">
        <v>10</v>
      </c>
      <c r="M273" s="64" t="n">
        <v>3</v>
      </c>
      <c r="N273" s="65" t="s">
        <v>2035</v>
      </c>
      <c r="O273" s="51" t="s">
        <v>95</v>
      </c>
      <c r="P273" s="54"/>
      <c r="Q273" s="54" t="s">
        <v>131</v>
      </c>
      <c r="R273" s="58" t="s">
        <v>132</v>
      </c>
      <c r="S273" s="54" t="s">
        <v>98</v>
      </c>
    </row>
    <row r="274" customFormat="false" ht="35.05" hidden="false" customHeight="false" outlineLevel="0" collapsed="false">
      <c r="A274" s="51" t="s">
        <v>2570</v>
      </c>
      <c r="B274" s="51" t="n">
        <v>270</v>
      </c>
      <c r="C274" s="52" t="s">
        <v>2571</v>
      </c>
      <c r="D274" s="53" t="s">
        <v>2572</v>
      </c>
      <c r="E274" s="54" t="s">
        <v>2573</v>
      </c>
      <c r="F274" s="54" t="s">
        <v>125</v>
      </c>
      <c r="G274" s="54" t="s">
        <v>2574</v>
      </c>
      <c r="H274" s="54" t="s">
        <v>2575</v>
      </c>
      <c r="I274" s="53" t="s">
        <v>2576</v>
      </c>
      <c r="J274" s="54" t="s">
        <v>2577</v>
      </c>
      <c r="K274" s="53" t="s">
        <v>2578</v>
      </c>
      <c r="L274" s="61" t="s">
        <v>10</v>
      </c>
      <c r="M274" s="64" t="n">
        <v>3</v>
      </c>
      <c r="N274" s="65" t="s">
        <v>2035</v>
      </c>
      <c r="O274" s="51" t="s">
        <v>95</v>
      </c>
      <c r="P274" s="54"/>
      <c r="Q274" s="54" t="s">
        <v>516</v>
      </c>
      <c r="R274" s="58" t="s">
        <v>517</v>
      </c>
      <c r="S274" s="54" t="s">
        <v>98</v>
      </c>
    </row>
    <row r="275" customFormat="false" ht="35.05" hidden="false" customHeight="false" outlineLevel="0" collapsed="false">
      <c r="A275" s="51" t="s">
        <v>2579</v>
      </c>
      <c r="B275" s="51" t="n">
        <v>271</v>
      </c>
      <c r="C275" s="52" t="s">
        <v>2580</v>
      </c>
      <c r="D275" s="53" t="s">
        <v>2581</v>
      </c>
      <c r="E275" s="54" t="s">
        <v>2582</v>
      </c>
      <c r="F275" s="54" t="s">
        <v>125</v>
      </c>
      <c r="G275" s="54" t="s">
        <v>2583</v>
      </c>
      <c r="H275" s="54" t="s">
        <v>2584</v>
      </c>
      <c r="I275" s="53" t="s">
        <v>2585</v>
      </c>
      <c r="J275" s="54" t="s">
        <v>2586</v>
      </c>
      <c r="K275" s="53" t="s">
        <v>2587</v>
      </c>
      <c r="L275" s="61" t="s">
        <v>10</v>
      </c>
      <c r="M275" s="64" t="n">
        <v>3</v>
      </c>
      <c r="N275" s="65" t="s">
        <v>2035</v>
      </c>
      <c r="O275" s="59" t="s">
        <v>161</v>
      </c>
      <c r="P275" s="54" t="s">
        <v>2082</v>
      </c>
      <c r="Q275" s="54" t="s">
        <v>131</v>
      </c>
      <c r="R275" s="58" t="s">
        <v>132</v>
      </c>
      <c r="S275" s="54" t="s">
        <v>98</v>
      </c>
    </row>
    <row r="276" customFormat="false" ht="35.05" hidden="false" customHeight="false" outlineLevel="0" collapsed="false">
      <c r="A276" s="51" t="s">
        <v>2588</v>
      </c>
      <c r="B276" s="51" t="n">
        <v>272</v>
      </c>
      <c r="C276" s="52" t="s">
        <v>2589</v>
      </c>
      <c r="D276" s="53" t="s">
        <v>2590</v>
      </c>
      <c r="E276" s="54" t="s">
        <v>2591</v>
      </c>
      <c r="F276" s="54" t="s">
        <v>548</v>
      </c>
      <c r="G276" s="54" t="s">
        <v>2592</v>
      </c>
      <c r="H276" s="54" t="s">
        <v>2593</v>
      </c>
      <c r="I276" s="53" t="s">
        <v>2594</v>
      </c>
      <c r="J276" s="54" t="s">
        <v>2595</v>
      </c>
      <c r="K276" s="53" t="s">
        <v>2596</v>
      </c>
      <c r="L276" s="61" t="s">
        <v>10</v>
      </c>
      <c r="M276" s="64" t="n">
        <v>3</v>
      </c>
      <c r="N276" s="65" t="s">
        <v>2035</v>
      </c>
      <c r="O276" s="59" t="s">
        <v>161</v>
      </c>
      <c r="P276" s="54" t="s">
        <v>2432</v>
      </c>
      <c r="Q276" s="54" t="s">
        <v>516</v>
      </c>
      <c r="R276" s="58" t="s">
        <v>517</v>
      </c>
      <c r="S276" s="54" t="s">
        <v>98</v>
      </c>
    </row>
    <row r="277" customFormat="false" ht="35.05" hidden="false" customHeight="false" outlineLevel="0" collapsed="false">
      <c r="A277" s="51" t="s">
        <v>2597</v>
      </c>
      <c r="B277" s="51" t="n">
        <v>273</v>
      </c>
      <c r="C277" s="52" t="s">
        <v>2598</v>
      </c>
      <c r="D277" s="53" t="s">
        <v>2599</v>
      </c>
      <c r="E277" s="54" t="s">
        <v>2600</v>
      </c>
      <c r="F277" s="54" t="s">
        <v>125</v>
      </c>
      <c r="G277" s="54" t="s">
        <v>2601</v>
      </c>
      <c r="H277" s="54" t="s">
        <v>2602</v>
      </c>
      <c r="I277" s="53" t="s">
        <v>2603</v>
      </c>
      <c r="J277" s="54" t="s">
        <v>2604</v>
      </c>
      <c r="K277" s="53" t="s">
        <v>2605</v>
      </c>
      <c r="L277" s="61" t="s">
        <v>10</v>
      </c>
      <c r="M277" s="64" t="n">
        <v>3</v>
      </c>
      <c r="N277" s="65" t="s">
        <v>2035</v>
      </c>
      <c r="O277" s="59" t="s">
        <v>161</v>
      </c>
      <c r="P277" s="54" t="s">
        <v>2082</v>
      </c>
      <c r="Q277" s="54" t="s">
        <v>131</v>
      </c>
      <c r="R277" s="58" t="s">
        <v>132</v>
      </c>
      <c r="S277" s="54" t="s">
        <v>98</v>
      </c>
    </row>
    <row r="278" customFormat="false" ht="35.05" hidden="false" customHeight="false" outlineLevel="0" collapsed="false">
      <c r="A278" s="51" t="s">
        <v>2606</v>
      </c>
      <c r="B278" s="51" t="n">
        <v>274</v>
      </c>
      <c r="C278" s="52" t="s">
        <v>2607</v>
      </c>
      <c r="D278" s="53" t="s">
        <v>2608</v>
      </c>
      <c r="E278" s="54" t="s">
        <v>2609</v>
      </c>
      <c r="F278" s="54" t="s">
        <v>548</v>
      </c>
      <c r="G278" s="54" t="s">
        <v>2610</v>
      </c>
      <c r="H278" s="54" t="s">
        <v>2611</v>
      </c>
      <c r="I278" s="53" t="s">
        <v>2612</v>
      </c>
      <c r="J278" s="54" t="s">
        <v>2613</v>
      </c>
      <c r="K278" s="53" t="s">
        <v>2614</v>
      </c>
      <c r="L278" s="61" t="s">
        <v>10</v>
      </c>
      <c r="M278" s="64" t="n">
        <v>3</v>
      </c>
      <c r="N278" s="65" t="s">
        <v>2035</v>
      </c>
      <c r="O278" s="51" t="s">
        <v>95</v>
      </c>
      <c r="P278" s="54"/>
      <c r="Q278" s="54" t="s">
        <v>96</v>
      </c>
      <c r="R278" s="58" t="s">
        <v>97</v>
      </c>
      <c r="S278" s="54" t="s">
        <v>98</v>
      </c>
    </row>
    <row r="279" customFormat="false" ht="35.05" hidden="false" customHeight="false" outlineLevel="0" collapsed="false">
      <c r="A279" s="51" t="s">
        <v>2615</v>
      </c>
      <c r="B279" s="51" t="n">
        <v>275</v>
      </c>
      <c r="C279" s="52" t="s">
        <v>2616</v>
      </c>
      <c r="D279" s="53" t="s">
        <v>2617</v>
      </c>
      <c r="E279" s="54" t="s">
        <v>2618</v>
      </c>
      <c r="F279" s="54" t="s">
        <v>614</v>
      </c>
      <c r="G279" s="54" t="s">
        <v>2619</v>
      </c>
      <c r="H279" s="54" t="s">
        <v>2620</v>
      </c>
      <c r="I279" s="53" t="s">
        <v>2621</v>
      </c>
      <c r="J279" s="54" t="s">
        <v>2622</v>
      </c>
      <c r="K279" s="53" t="s">
        <v>2623</v>
      </c>
      <c r="L279" s="61" t="s">
        <v>10</v>
      </c>
      <c r="M279" s="64" t="n">
        <v>3</v>
      </c>
      <c r="N279" s="65" t="s">
        <v>2035</v>
      </c>
      <c r="O279" s="51" t="s">
        <v>95</v>
      </c>
      <c r="P279" s="54"/>
      <c r="Q279" s="54" t="s">
        <v>516</v>
      </c>
      <c r="R279" s="58" t="s">
        <v>517</v>
      </c>
      <c r="S279" s="54" t="s">
        <v>98</v>
      </c>
    </row>
    <row r="280" customFormat="false" ht="35.05" hidden="false" customHeight="false" outlineLevel="0" collapsed="false">
      <c r="A280" s="51" t="s">
        <v>2624</v>
      </c>
      <c r="B280" s="51" t="n">
        <v>276</v>
      </c>
      <c r="C280" s="52" t="s">
        <v>2625</v>
      </c>
      <c r="D280" s="53" t="s">
        <v>2626</v>
      </c>
      <c r="E280" s="54" t="s">
        <v>2627</v>
      </c>
      <c r="F280" s="54" t="s">
        <v>2029</v>
      </c>
      <c r="G280" s="54" t="s">
        <v>2628</v>
      </c>
      <c r="H280" s="54" t="s">
        <v>2629</v>
      </c>
      <c r="I280" s="53" t="s">
        <v>2630</v>
      </c>
      <c r="J280" s="54" t="s">
        <v>2631</v>
      </c>
      <c r="K280" s="53" t="s">
        <v>2632</v>
      </c>
      <c r="L280" s="61" t="s">
        <v>10</v>
      </c>
      <c r="M280" s="64" t="n">
        <v>3</v>
      </c>
      <c r="N280" s="65" t="s">
        <v>2035</v>
      </c>
      <c r="O280" s="51" t="s">
        <v>95</v>
      </c>
      <c r="P280" s="54"/>
      <c r="Q280" s="54" t="s">
        <v>516</v>
      </c>
      <c r="R280" s="58" t="s">
        <v>517</v>
      </c>
      <c r="S280" s="54" t="s">
        <v>98</v>
      </c>
    </row>
    <row r="281" customFormat="false" ht="35.05" hidden="false" customHeight="false" outlineLevel="0" collapsed="false">
      <c r="A281" s="51" t="s">
        <v>2633</v>
      </c>
      <c r="B281" s="51" t="n">
        <v>277</v>
      </c>
      <c r="C281" s="52" t="s">
        <v>2634</v>
      </c>
      <c r="D281" s="53" t="s">
        <v>2635</v>
      </c>
      <c r="E281" s="54" t="s">
        <v>2636</v>
      </c>
      <c r="F281" s="54" t="s">
        <v>548</v>
      </c>
      <c r="G281" s="54" t="s">
        <v>2637</v>
      </c>
      <c r="H281" s="54" t="s">
        <v>2638</v>
      </c>
      <c r="I281" s="53" t="s">
        <v>2639</v>
      </c>
      <c r="J281" s="54" t="s">
        <v>2640</v>
      </c>
      <c r="K281" s="53" t="s">
        <v>2641</v>
      </c>
      <c r="L281" s="61" t="s">
        <v>10</v>
      </c>
      <c r="M281" s="64" t="n">
        <v>3</v>
      </c>
      <c r="N281" s="65" t="s">
        <v>2035</v>
      </c>
      <c r="O281" s="51" t="s">
        <v>95</v>
      </c>
      <c r="P281" s="54"/>
      <c r="Q281" s="54" t="s">
        <v>516</v>
      </c>
      <c r="R281" s="58" t="s">
        <v>517</v>
      </c>
      <c r="S281" s="54" t="s">
        <v>98</v>
      </c>
    </row>
    <row r="282" customFormat="false" ht="35.05" hidden="false" customHeight="false" outlineLevel="0" collapsed="false">
      <c r="A282" s="51" t="s">
        <v>2642</v>
      </c>
      <c r="B282" s="51" t="n">
        <v>278</v>
      </c>
      <c r="C282" s="52" t="s">
        <v>2643</v>
      </c>
      <c r="D282" s="53" t="s">
        <v>2644</v>
      </c>
      <c r="E282" s="54" t="s">
        <v>2645</v>
      </c>
      <c r="F282" s="54" t="s">
        <v>249</v>
      </c>
      <c r="G282" s="54" t="s">
        <v>2646</v>
      </c>
      <c r="H282" s="54" t="s">
        <v>2647</v>
      </c>
      <c r="I282" s="53" t="s">
        <v>2648</v>
      </c>
      <c r="J282" s="54" t="s">
        <v>2649</v>
      </c>
      <c r="K282" s="53" t="s">
        <v>2650</v>
      </c>
      <c r="L282" s="61" t="s">
        <v>10</v>
      </c>
      <c r="M282" s="64" t="n">
        <v>3</v>
      </c>
      <c r="N282" s="65" t="s">
        <v>2035</v>
      </c>
      <c r="O282" s="51" t="s">
        <v>95</v>
      </c>
      <c r="P282" s="54"/>
      <c r="Q282" s="54" t="s">
        <v>96</v>
      </c>
      <c r="R282" s="58" t="s">
        <v>97</v>
      </c>
      <c r="S282" s="54" t="s">
        <v>98</v>
      </c>
    </row>
    <row r="283" customFormat="false" ht="35.05" hidden="false" customHeight="false" outlineLevel="0" collapsed="false">
      <c r="A283" s="51" t="s">
        <v>2651</v>
      </c>
      <c r="B283" s="51" t="n">
        <v>279</v>
      </c>
      <c r="C283" s="52" t="s">
        <v>2652</v>
      </c>
      <c r="D283" s="53" t="s">
        <v>2653</v>
      </c>
      <c r="E283" s="54" t="s">
        <v>2654</v>
      </c>
      <c r="F283" s="54" t="s">
        <v>548</v>
      </c>
      <c r="G283" s="54" t="s">
        <v>2655</v>
      </c>
      <c r="H283" s="54" t="s">
        <v>2656</v>
      </c>
      <c r="I283" s="53" t="s">
        <v>2657</v>
      </c>
      <c r="J283" s="54" t="s">
        <v>2658</v>
      </c>
      <c r="K283" s="53" t="s">
        <v>2659</v>
      </c>
      <c r="L283" s="61" t="s">
        <v>10</v>
      </c>
      <c r="M283" s="64" t="n">
        <v>3</v>
      </c>
      <c r="N283" s="65" t="s">
        <v>2035</v>
      </c>
      <c r="O283" s="59" t="s">
        <v>161</v>
      </c>
      <c r="P283" s="54" t="s">
        <v>573</v>
      </c>
      <c r="Q283" s="54" t="s">
        <v>96</v>
      </c>
      <c r="R283" s="58" t="s">
        <v>97</v>
      </c>
      <c r="S283" s="54" t="s">
        <v>98</v>
      </c>
    </row>
    <row r="284" customFormat="false" ht="35.05" hidden="false" customHeight="false" outlineLevel="0" collapsed="false">
      <c r="A284" s="51" t="s">
        <v>2660</v>
      </c>
      <c r="B284" s="51" t="n">
        <v>280</v>
      </c>
      <c r="C284" s="52" t="s">
        <v>2661</v>
      </c>
      <c r="D284" s="53" t="s">
        <v>2662</v>
      </c>
      <c r="E284" s="54" t="s">
        <v>2663</v>
      </c>
      <c r="F284" s="54" t="s">
        <v>289</v>
      </c>
      <c r="G284" s="54" t="s">
        <v>2664</v>
      </c>
      <c r="H284" s="54" t="s">
        <v>2665</v>
      </c>
      <c r="I284" s="53" t="s">
        <v>2666</v>
      </c>
      <c r="J284" s="54" t="s">
        <v>2667</v>
      </c>
      <c r="K284" s="53" t="s">
        <v>2668</v>
      </c>
      <c r="L284" s="61" t="s">
        <v>10</v>
      </c>
      <c r="M284" s="64" t="n">
        <v>3</v>
      </c>
      <c r="N284" s="65" t="s">
        <v>2035</v>
      </c>
      <c r="O284" s="51" t="s">
        <v>95</v>
      </c>
      <c r="P284" s="54"/>
      <c r="Q284" s="54" t="s">
        <v>516</v>
      </c>
      <c r="R284" s="58" t="s">
        <v>517</v>
      </c>
      <c r="S284" s="54" t="s">
        <v>98</v>
      </c>
    </row>
    <row r="285" customFormat="false" ht="35.05" hidden="false" customHeight="false" outlineLevel="0" collapsed="false">
      <c r="A285" s="51" t="s">
        <v>2669</v>
      </c>
      <c r="B285" s="51" t="n">
        <v>281</v>
      </c>
      <c r="C285" s="52" t="s">
        <v>2670</v>
      </c>
      <c r="D285" s="53" t="s">
        <v>2671</v>
      </c>
      <c r="E285" s="54" t="s">
        <v>2672</v>
      </c>
      <c r="F285" s="54" t="s">
        <v>548</v>
      </c>
      <c r="G285" s="54" t="s">
        <v>2673</v>
      </c>
      <c r="H285" s="54" t="s">
        <v>2674</v>
      </c>
      <c r="I285" s="53" t="s">
        <v>2675</v>
      </c>
      <c r="J285" s="54" t="s">
        <v>2676</v>
      </c>
      <c r="K285" s="53" t="s">
        <v>2677</v>
      </c>
      <c r="L285" s="61" t="s">
        <v>10</v>
      </c>
      <c r="M285" s="64" t="n">
        <v>3</v>
      </c>
      <c r="N285" s="65" t="s">
        <v>2035</v>
      </c>
      <c r="O285" s="51" t="s">
        <v>95</v>
      </c>
      <c r="P285" s="54"/>
      <c r="Q285" s="54" t="s">
        <v>516</v>
      </c>
      <c r="R285" s="58" t="s">
        <v>517</v>
      </c>
      <c r="S285" s="54" t="s">
        <v>98</v>
      </c>
    </row>
    <row r="286" customFormat="false" ht="35.05" hidden="false" customHeight="false" outlineLevel="0" collapsed="false">
      <c r="A286" s="51" t="s">
        <v>2678</v>
      </c>
      <c r="B286" s="51" t="n">
        <v>282</v>
      </c>
      <c r="C286" s="52" t="s">
        <v>2679</v>
      </c>
      <c r="D286" s="53" t="s">
        <v>2680</v>
      </c>
      <c r="E286" s="54" t="s">
        <v>2681</v>
      </c>
      <c r="F286" s="54" t="s">
        <v>125</v>
      </c>
      <c r="G286" s="54" t="s">
        <v>2682</v>
      </c>
      <c r="H286" s="54" t="s">
        <v>2683</v>
      </c>
      <c r="I286" s="53" t="s">
        <v>2684</v>
      </c>
      <c r="J286" s="54" t="s">
        <v>2685</v>
      </c>
      <c r="K286" s="53" t="s">
        <v>2686</v>
      </c>
      <c r="L286" s="61" t="s">
        <v>10</v>
      </c>
      <c r="M286" s="64" t="n">
        <v>3</v>
      </c>
      <c r="N286" s="65" t="s">
        <v>2035</v>
      </c>
      <c r="O286" s="51" t="s">
        <v>95</v>
      </c>
      <c r="P286" s="54"/>
      <c r="Q286" s="54" t="s">
        <v>131</v>
      </c>
      <c r="R286" s="58" t="s">
        <v>132</v>
      </c>
      <c r="S286" s="54" t="s">
        <v>98</v>
      </c>
    </row>
    <row r="287" customFormat="false" ht="35.05" hidden="false" customHeight="false" outlineLevel="0" collapsed="false">
      <c r="A287" s="51" t="s">
        <v>2687</v>
      </c>
      <c r="B287" s="51" t="n">
        <v>283</v>
      </c>
      <c r="C287" s="52" t="s">
        <v>2688</v>
      </c>
      <c r="D287" s="53" t="s">
        <v>2689</v>
      </c>
      <c r="E287" s="54" t="s">
        <v>2690</v>
      </c>
      <c r="F287" s="54" t="s">
        <v>2029</v>
      </c>
      <c r="G287" s="54" t="s">
        <v>2691</v>
      </c>
      <c r="H287" s="54" t="s">
        <v>2692</v>
      </c>
      <c r="I287" s="53" t="s">
        <v>2693</v>
      </c>
      <c r="J287" s="54" t="s">
        <v>2694</v>
      </c>
      <c r="K287" s="53" t="s">
        <v>2695</v>
      </c>
      <c r="L287" s="61" t="s">
        <v>10</v>
      </c>
      <c r="M287" s="64" t="n">
        <v>3</v>
      </c>
      <c r="N287" s="65" t="s">
        <v>2035</v>
      </c>
      <c r="O287" s="51" t="s">
        <v>95</v>
      </c>
      <c r="P287" s="54"/>
      <c r="Q287" s="54" t="s">
        <v>131</v>
      </c>
      <c r="R287" s="58" t="s">
        <v>132</v>
      </c>
      <c r="S287" s="54" t="s">
        <v>98</v>
      </c>
    </row>
    <row r="288" customFormat="false" ht="35.05" hidden="false" customHeight="false" outlineLevel="0" collapsed="false">
      <c r="A288" s="51" t="s">
        <v>2696</v>
      </c>
      <c r="B288" s="51" t="n">
        <v>284</v>
      </c>
      <c r="C288" s="52" t="s">
        <v>2697</v>
      </c>
      <c r="D288" s="53" t="s">
        <v>2698</v>
      </c>
      <c r="E288" s="54" t="s">
        <v>2699</v>
      </c>
      <c r="F288" s="54" t="s">
        <v>2029</v>
      </c>
      <c r="G288" s="54" t="s">
        <v>2700</v>
      </c>
      <c r="H288" s="54" t="s">
        <v>2701</v>
      </c>
      <c r="I288" s="53" t="s">
        <v>2702</v>
      </c>
      <c r="J288" s="54" t="s">
        <v>2703</v>
      </c>
      <c r="K288" s="53" t="s">
        <v>2704</v>
      </c>
      <c r="L288" s="61" t="s">
        <v>10</v>
      </c>
      <c r="M288" s="64" t="n">
        <v>3</v>
      </c>
      <c r="N288" s="65" t="s">
        <v>2035</v>
      </c>
      <c r="O288" s="51" t="s">
        <v>95</v>
      </c>
      <c r="P288" s="54"/>
      <c r="Q288" s="54" t="s">
        <v>516</v>
      </c>
      <c r="R288" s="58" t="s">
        <v>517</v>
      </c>
      <c r="S288" s="54" t="s">
        <v>98</v>
      </c>
    </row>
    <row r="289" customFormat="false" ht="35.05" hidden="false" customHeight="false" outlineLevel="0" collapsed="false">
      <c r="A289" s="51" t="s">
        <v>2705</v>
      </c>
      <c r="B289" s="51" t="n">
        <v>285</v>
      </c>
      <c r="C289" s="52" t="s">
        <v>2706</v>
      </c>
      <c r="D289" s="53" t="s">
        <v>2707</v>
      </c>
      <c r="E289" s="54" t="s">
        <v>2708</v>
      </c>
      <c r="F289" s="54" t="s">
        <v>823</v>
      </c>
      <c r="G289" s="54" t="s">
        <v>2709</v>
      </c>
      <c r="H289" s="54" t="s">
        <v>2710</v>
      </c>
      <c r="I289" s="53" t="s">
        <v>2711</v>
      </c>
      <c r="J289" s="54" t="s">
        <v>2712</v>
      </c>
      <c r="K289" s="53" t="s">
        <v>2713</v>
      </c>
      <c r="L289" s="61" t="s">
        <v>10</v>
      </c>
      <c r="M289" s="64" t="n">
        <v>3</v>
      </c>
      <c r="N289" s="65" t="s">
        <v>2035</v>
      </c>
      <c r="O289" s="51" t="s">
        <v>95</v>
      </c>
      <c r="P289" s="54"/>
      <c r="Q289" s="54" t="s">
        <v>96</v>
      </c>
      <c r="R289" s="58" t="s">
        <v>97</v>
      </c>
      <c r="S289" s="54" t="s">
        <v>98</v>
      </c>
    </row>
    <row r="290" customFormat="false" ht="35.05" hidden="false" customHeight="false" outlineLevel="0" collapsed="false">
      <c r="A290" s="51" t="s">
        <v>2714</v>
      </c>
      <c r="B290" s="51" t="n">
        <v>286</v>
      </c>
      <c r="C290" s="52" t="s">
        <v>2715</v>
      </c>
      <c r="D290" s="53" t="s">
        <v>2716</v>
      </c>
      <c r="E290" s="54" t="s">
        <v>2717</v>
      </c>
      <c r="F290" s="54" t="s">
        <v>823</v>
      </c>
      <c r="G290" s="54" t="s">
        <v>2718</v>
      </c>
      <c r="H290" s="54" t="s">
        <v>2719</v>
      </c>
      <c r="I290" s="53" t="s">
        <v>2720</v>
      </c>
      <c r="J290" s="54" t="s">
        <v>2721</v>
      </c>
      <c r="K290" s="53" t="s">
        <v>2722</v>
      </c>
      <c r="L290" s="61" t="s">
        <v>10</v>
      </c>
      <c r="M290" s="64" t="n">
        <v>3</v>
      </c>
      <c r="N290" s="65" t="s">
        <v>2035</v>
      </c>
      <c r="O290" s="51" t="s">
        <v>95</v>
      </c>
      <c r="P290" s="54"/>
      <c r="Q290" s="54" t="s">
        <v>516</v>
      </c>
      <c r="R290" s="58" t="s">
        <v>517</v>
      </c>
      <c r="S290" s="54" t="s">
        <v>98</v>
      </c>
    </row>
    <row r="291" customFormat="false" ht="35.05" hidden="false" customHeight="false" outlineLevel="0" collapsed="false">
      <c r="A291" s="51" t="s">
        <v>2723</v>
      </c>
      <c r="B291" s="51" t="n">
        <v>287</v>
      </c>
      <c r="C291" s="52" t="s">
        <v>2724</v>
      </c>
      <c r="D291" s="53" t="s">
        <v>2725</v>
      </c>
      <c r="E291" s="54" t="s">
        <v>2726</v>
      </c>
      <c r="F291" s="54" t="s">
        <v>27</v>
      </c>
      <c r="G291" s="54" t="s">
        <v>2727</v>
      </c>
      <c r="H291" s="54" t="s">
        <v>2728</v>
      </c>
      <c r="I291" s="53" t="s">
        <v>2729</v>
      </c>
      <c r="J291" s="54" t="s">
        <v>2730</v>
      </c>
      <c r="K291" s="53" t="s">
        <v>2731</v>
      </c>
      <c r="L291" s="55" t="s">
        <v>8</v>
      </c>
      <c r="M291" s="66" t="n">
        <v>4</v>
      </c>
      <c r="N291" s="67" t="s">
        <v>2732</v>
      </c>
      <c r="O291" s="51" t="s">
        <v>95</v>
      </c>
      <c r="P291" s="54"/>
      <c r="Q291" s="54" t="s">
        <v>131</v>
      </c>
      <c r="R291" s="58" t="s">
        <v>132</v>
      </c>
      <c r="S291" s="54" t="s">
        <v>98</v>
      </c>
    </row>
    <row r="292" customFormat="false" ht="35.05" hidden="false" customHeight="false" outlineLevel="0" collapsed="false">
      <c r="A292" s="51" t="s">
        <v>2733</v>
      </c>
      <c r="B292" s="51" t="n">
        <v>288</v>
      </c>
      <c r="C292" s="52" t="s">
        <v>2734</v>
      </c>
      <c r="D292" s="53" t="s">
        <v>2735</v>
      </c>
      <c r="E292" s="54" t="s">
        <v>2736</v>
      </c>
      <c r="F292" s="54" t="s">
        <v>2737</v>
      </c>
      <c r="G292" s="54" t="s">
        <v>2738</v>
      </c>
      <c r="H292" s="54" t="s">
        <v>2739</v>
      </c>
      <c r="I292" s="53" t="s">
        <v>2740</v>
      </c>
      <c r="J292" s="54" t="s">
        <v>2741</v>
      </c>
      <c r="K292" s="53" t="s">
        <v>2742</v>
      </c>
      <c r="L292" s="55" t="s">
        <v>8</v>
      </c>
      <c r="M292" s="66" t="n">
        <v>4</v>
      </c>
      <c r="N292" s="67" t="s">
        <v>2732</v>
      </c>
      <c r="O292" s="51" t="s">
        <v>95</v>
      </c>
      <c r="P292" s="54"/>
      <c r="Q292" s="54" t="s">
        <v>131</v>
      </c>
      <c r="R292" s="58" t="s">
        <v>132</v>
      </c>
      <c r="S292" s="54" t="s">
        <v>98</v>
      </c>
    </row>
    <row r="293" customFormat="false" ht="35.05" hidden="false" customHeight="false" outlineLevel="0" collapsed="false">
      <c r="A293" s="51" t="s">
        <v>2743</v>
      </c>
      <c r="B293" s="51" t="n">
        <v>289</v>
      </c>
      <c r="C293" s="52" t="s">
        <v>2744</v>
      </c>
      <c r="D293" s="53" t="s">
        <v>2745</v>
      </c>
      <c r="E293" s="54" t="s">
        <v>2746</v>
      </c>
      <c r="F293" s="54" t="s">
        <v>27</v>
      </c>
      <c r="G293" s="54" t="s">
        <v>2747</v>
      </c>
      <c r="H293" s="54" t="s">
        <v>2748</v>
      </c>
      <c r="I293" s="53" t="s">
        <v>2749</v>
      </c>
      <c r="J293" s="54" t="s">
        <v>2750</v>
      </c>
      <c r="K293" s="53" t="s">
        <v>2751</v>
      </c>
      <c r="L293" s="55" t="s">
        <v>8</v>
      </c>
      <c r="M293" s="66" t="n">
        <v>4</v>
      </c>
      <c r="N293" s="67" t="s">
        <v>2732</v>
      </c>
      <c r="O293" s="59" t="s">
        <v>161</v>
      </c>
      <c r="P293" s="54" t="s">
        <v>2752</v>
      </c>
      <c r="Q293" s="54" t="s">
        <v>516</v>
      </c>
      <c r="R293" s="58" t="s">
        <v>517</v>
      </c>
      <c r="S293" s="54" t="s">
        <v>98</v>
      </c>
    </row>
    <row r="294" customFormat="false" ht="46.25" hidden="false" customHeight="false" outlineLevel="0" collapsed="false">
      <c r="A294" s="51" t="s">
        <v>2753</v>
      </c>
      <c r="B294" s="51" t="n">
        <v>290</v>
      </c>
      <c r="C294" s="52" t="s">
        <v>2754</v>
      </c>
      <c r="D294" s="53" t="s">
        <v>2755</v>
      </c>
      <c r="E294" s="54" t="s">
        <v>2756</v>
      </c>
      <c r="F294" s="54" t="s">
        <v>2737</v>
      </c>
      <c r="G294" s="54" t="s">
        <v>2757</v>
      </c>
      <c r="H294" s="54" t="s">
        <v>2758</v>
      </c>
      <c r="I294" s="53" t="s">
        <v>2759</v>
      </c>
      <c r="J294" s="54" t="s">
        <v>2760</v>
      </c>
      <c r="K294" s="53" t="s">
        <v>2761</v>
      </c>
      <c r="L294" s="55" t="s">
        <v>8</v>
      </c>
      <c r="M294" s="66" t="n">
        <v>4</v>
      </c>
      <c r="N294" s="67" t="s">
        <v>2732</v>
      </c>
      <c r="O294" s="51" t="s">
        <v>95</v>
      </c>
      <c r="P294" s="54"/>
      <c r="Q294" s="54" t="s">
        <v>109</v>
      </c>
      <c r="R294" s="58" t="s">
        <v>110</v>
      </c>
      <c r="S294" s="54" t="s">
        <v>98</v>
      </c>
    </row>
    <row r="295" customFormat="false" ht="46.25" hidden="false" customHeight="false" outlineLevel="0" collapsed="false">
      <c r="A295" s="51" t="s">
        <v>2762</v>
      </c>
      <c r="B295" s="51" t="n">
        <v>291</v>
      </c>
      <c r="C295" s="52" t="s">
        <v>2763</v>
      </c>
      <c r="D295" s="53" t="s">
        <v>2764</v>
      </c>
      <c r="E295" s="54" t="s">
        <v>2765</v>
      </c>
      <c r="F295" s="54" t="s">
        <v>103</v>
      </c>
      <c r="G295" s="54" t="s">
        <v>2766</v>
      </c>
      <c r="H295" s="54" t="s">
        <v>2767</v>
      </c>
      <c r="I295" s="53" t="s">
        <v>2768</v>
      </c>
      <c r="J295" s="54" t="s">
        <v>2769</v>
      </c>
      <c r="K295" s="53" t="s">
        <v>2770</v>
      </c>
      <c r="L295" s="55" t="s">
        <v>8</v>
      </c>
      <c r="M295" s="66" t="n">
        <v>4</v>
      </c>
      <c r="N295" s="67" t="s">
        <v>2732</v>
      </c>
      <c r="O295" s="51" t="s">
        <v>95</v>
      </c>
      <c r="P295" s="54"/>
      <c r="Q295" s="54" t="s">
        <v>109</v>
      </c>
      <c r="R295" s="58" t="s">
        <v>110</v>
      </c>
      <c r="S295" s="54" t="s">
        <v>98</v>
      </c>
    </row>
    <row r="296" customFormat="false" ht="35.05" hidden="false" customHeight="false" outlineLevel="0" collapsed="false">
      <c r="A296" s="51" t="s">
        <v>2771</v>
      </c>
      <c r="B296" s="51" t="n">
        <v>292</v>
      </c>
      <c r="C296" s="52" t="s">
        <v>2772</v>
      </c>
      <c r="D296" s="53" t="s">
        <v>2773</v>
      </c>
      <c r="E296" s="54" t="s">
        <v>2774</v>
      </c>
      <c r="F296" s="54" t="s">
        <v>2775</v>
      </c>
      <c r="G296" s="54" t="s">
        <v>2776</v>
      </c>
      <c r="H296" s="54" t="s">
        <v>2777</v>
      </c>
      <c r="I296" s="53" t="s">
        <v>2778</v>
      </c>
      <c r="J296" s="54" t="s">
        <v>2779</v>
      </c>
      <c r="K296" s="53" t="s">
        <v>2780</v>
      </c>
      <c r="L296" s="55" t="s">
        <v>8</v>
      </c>
      <c r="M296" s="66" t="n">
        <v>4</v>
      </c>
      <c r="N296" s="67" t="s">
        <v>2732</v>
      </c>
      <c r="O296" s="59" t="s">
        <v>161</v>
      </c>
      <c r="P296" s="54" t="s">
        <v>2781</v>
      </c>
      <c r="Q296" s="54" t="s">
        <v>131</v>
      </c>
      <c r="R296" s="58" t="s">
        <v>132</v>
      </c>
      <c r="S296" s="54" t="s">
        <v>98</v>
      </c>
    </row>
    <row r="297" customFormat="false" ht="35.05" hidden="false" customHeight="false" outlineLevel="0" collapsed="false">
      <c r="A297" s="51" t="s">
        <v>2782</v>
      </c>
      <c r="B297" s="51" t="n">
        <v>293</v>
      </c>
      <c r="C297" s="52" t="s">
        <v>2783</v>
      </c>
      <c r="D297" s="53" t="s">
        <v>2784</v>
      </c>
      <c r="E297" s="54" t="s">
        <v>2785</v>
      </c>
      <c r="F297" s="54" t="s">
        <v>2737</v>
      </c>
      <c r="G297" s="54" t="s">
        <v>2786</v>
      </c>
      <c r="H297" s="54" t="s">
        <v>2787</v>
      </c>
      <c r="I297" s="53" t="s">
        <v>2788</v>
      </c>
      <c r="J297" s="54" t="s">
        <v>2789</v>
      </c>
      <c r="K297" s="53" t="s">
        <v>2790</v>
      </c>
      <c r="L297" s="55" t="s">
        <v>8</v>
      </c>
      <c r="M297" s="66" t="n">
        <v>4</v>
      </c>
      <c r="N297" s="67" t="s">
        <v>2732</v>
      </c>
      <c r="O297" s="51" t="s">
        <v>95</v>
      </c>
      <c r="P297" s="54"/>
      <c r="Q297" s="54" t="s">
        <v>96</v>
      </c>
      <c r="R297" s="58" t="s">
        <v>97</v>
      </c>
      <c r="S297" s="54" t="s">
        <v>98</v>
      </c>
    </row>
    <row r="298" customFormat="false" ht="46.25" hidden="false" customHeight="false" outlineLevel="0" collapsed="false">
      <c r="A298" s="51" t="s">
        <v>2791</v>
      </c>
      <c r="B298" s="51" t="n">
        <v>294</v>
      </c>
      <c r="C298" s="52" t="s">
        <v>2792</v>
      </c>
      <c r="D298" s="53" t="s">
        <v>2793</v>
      </c>
      <c r="E298" s="54" t="s">
        <v>2794</v>
      </c>
      <c r="F298" s="54" t="s">
        <v>27</v>
      </c>
      <c r="G298" s="54" t="s">
        <v>2795</v>
      </c>
      <c r="H298" s="54" t="s">
        <v>2796</v>
      </c>
      <c r="I298" s="53" t="s">
        <v>2797</v>
      </c>
      <c r="J298" s="54" t="s">
        <v>2798</v>
      </c>
      <c r="K298" s="53" t="s">
        <v>2799</v>
      </c>
      <c r="L298" s="55" t="s">
        <v>8</v>
      </c>
      <c r="M298" s="66" t="n">
        <v>4</v>
      </c>
      <c r="N298" s="67" t="s">
        <v>2732</v>
      </c>
      <c r="O298" s="51" t="s">
        <v>95</v>
      </c>
      <c r="P298" s="54"/>
      <c r="Q298" s="54" t="s">
        <v>441</v>
      </c>
      <c r="R298" s="58" t="s">
        <v>442</v>
      </c>
      <c r="S298" s="54" t="s">
        <v>98</v>
      </c>
    </row>
    <row r="299" customFormat="false" ht="46.25" hidden="false" customHeight="false" outlineLevel="0" collapsed="false">
      <c r="A299" s="51" t="s">
        <v>2800</v>
      </c>
      <c r="B299" s="51" t="n">
        <v>295</v>
      </c>
      <c r="C299" s="52" t="s">
        <v>2801</v>
      </c>
      <c r="D299" s="53" t="s">
        <v>2802</v>
      </c>
      <c r="E299" s="54" t="s">
        <v>2803</v>
      </c>
      <c r="F299" s="54" t="s">
        <v>249</v>
      </c>
      <c r="G299" s="54" t="s">
        <v>2804</v>
      </c>
      <c r="H299" s="54" t="s">
        <v>2805</v>
      </c>
      <c r="I299" s="53" t="s">
        <v>2806</v>
      </c>
      <c r="J299" s="54" t="s">
        <v>2807</v>
      </c>
      <c r="K299" s="53" t="s">
        <v>2808</v>
      </c>
      <c r="L299" s="55" t="s">
        <v>8</v>
      </c>
      <c r="M299" s="66" t="n">
        <v>4</v>
      </c>
      <c r="N299" s="67" t="s">
        <v>2732</v>
      </c>
      <c r="O299" s="59" t="s">
        <v>161</v>
      </c>
      <c r="P299" s="54" t="s">
        <v>2809</v>
      </c>
      <c r="Q299" s="54" t="s">
        <v>441</v>
      </c>
      <c r="R299" s="58" t="s">
        <v>442</v>
      </c>
      <c r="S299" s="54" t="s">
        <v>98</v>
      </c>
    </row>
    <row r="300" customFormat="false" ht="35.05" hidden="false" customHeight="false" outlineLevel="0" collapsed="false">
      <c r="A300" s="51" t="s">
        <v>2810</v>
      </c>
      <c r="B300" s="51" t="n">
        <v>296</v>
      </c>
      <c r="C300" s="52" t="s">
        <v>2811</v>
      </c>
      <c r="D300" s="53" t="s">
        <v>2812</v>
      </c>
      <c r="E300" s="54" t="s">
        <v>2813</v>
      </c>
      <c r="F300" s="54" t="s">
        <v>249</v>
      </c>
      <c r="G300" s="54" t="s">
        <v>2814</v>
      </c>
      <c r="H300" s="54" t="s">
        <v>2815</v>
      </c>
      <c r="I300" s="53" t="s">
        <v>2816</v>
      </c>
      <c r="J300" s="54" t="s">
        <v>2817</v>
      </c>
      <c r="K300" s="53" t="s">
        <v>2818</v>
      </c>
      <c r="L300" s="60" t="s">
        <v>9</v>
      </c>
      <c r="M300" s="66" t="n">
        <v>4</v>
      </c>
      <c r="N300" s="67" t="s">
        <v>2732</v>
      </c>
      <c r="O300" s="51" t="s">
        <v>95</v>
      </c>
      <c r="P300" s="54"/>
      <c r="Q300" s="54" t="s">
        <v>516</v>
      </c>
      <c r="R300" s="58" t="s">
        <v>517</v>
      </c>
      <c r="S300" s="54" t="s">
        <v>98</v>
      </c>
    </row>
    <row r="301" customFormat="false" ht="35.05" hidden="false" customHeight="false" outlineLevel="0" collapsed="false">
      <c r="A301" s="51" t="s">
        <v>2819</v>
      </c>
      <c r="B301" s="51" t="n">
        <v>297</v>
      </c>
      <c r="C301" s="52" t="s">
        <v>2820</v>
      </c>
      <c r="D301" s="53" t="s">
        <v>2821</v>
      </c>
      <c r="E301" s="54" t="s">
        <v>2822</v>
      </c>
      <c r="F301" s="54" t="s">
        <v>103</v>
      </c>
      <c r="G301" s="54" t="s">
        <v>2823</v>
      </c>
      <c r="H301" s="54" t="s">
        <v>2824</v>
      </c>
      <c r="I301" s="53" t="s">
        <v>2825</v>
      </c>
      <c r="J301" s="54" t="s">
        <v>2826</v>
      </c>
      <c r="K301" s="53" t="s">
        <v>2827</v>
      </c>
      <c r="L301" s="60" t="s">
        <v>9</v>
      </c>
      <c r="M301" s="66" t="n">
        <v>4</v>
      </c>
      <c r="N301" s="67" t="s">
        <v>2732</v>
      </c>
      <c r="O301" s="51" t="s">
        <v>95</v>
      </c>
      <c r="P301" s="54"/>
      <c r="Q301" s="54" t="s">
        <v>131</v>
      </c>
      <c r="R301" s="58" t="s">
        <v>132</v>
      </c>
      <c r="S301" s="54" t="s">
        <v>98</v>
      </c>
    </row>
    <row r="302" customFormat="false" ht="35.05" hidden="false" customHeight="false" outlineLevel="0" collapsed="false">
      <c r="A302" s="51" t="s">
        <v>2828</v>
      </c>
      <c r="B302" s="51" t="n">
        <v>298</v>
      </c>
      <c r="C302" s="52" t="s">
        <v>2829</v>
      </c>
      <c r="D302" s="53" t="s">
        <v>2830</v>
      </c>
      <c r="E302" s="54" t="s">
        <v>2831</v>
      </c>
      <c r="F302" s="54" t="s">
        <v>103</v>
      </c>
      <c r="G302" s="54" t="s">
        <v>2832</v>
      </c>
      <c r="H302" s="54" t="s">
        <v>2833</v>
      </c>
      <c r="I302" s="53" t="s">
        <v>2834</v>
      </c>
      <c r="J302" s="54" t="s">
        <v>2835</v>
      </c>
      <c r="K302" s="53" t="s">
        <v>2836</v>
      </c>
      <c r="L302" s="60" t="s">
        <v>9</v>
      </c>
      <c r="M302" s="66" t="n">
        <v>4</v>
      </c>
      <c r="N302" s="67" t="s">
        <v>2732</v>
      </c>
      <c r="O302" s="51" t="s">
        <v>95</v>
      </c>
      <c r="P302" s="54"/>
      <c r="Q302" s="54" t="s">
        <v>131</v>
      </c>
      <c r="R302" s="58" t="s">
        <v>132</v>
      </c>
      <c r="S302" s="54" t="s">
        <v>98</v>
      </c>
    </row>
    <row r="303" customFormat="false" ht="35.05" hidden="false" customHeight="false" outlineLevel="0" collapsed="false">
      <c r="A303" s="51" t="s">
        <v>2837</v>
      </c>
      <c r="B303" s="51" t="n">
        <v>299</v>
      </c>
      <c r="C303" s="52" t="s">
        <v>2838</v>
      </c>
      <c r="D303" s="53" t="s">
        <v>2839</v>
      </c>
      <c r="E303" s="54" t="s">
        <v>2840</v>
      </c>
      <c r="F303" s="54" t="s">
        <v>823</v>
      </c>
      <c r="G303" s="54" t="s">
        <v>2841</v>
      </c>
      <c r="H303" s="54" t="s">
        <v>2842</v>
      </c>
      <c r="I303" s="53" t="s">
        <v>2843</v>
      </c>
      <c r="J303" s="54" t="s">
        <v>2844</v>
      </c>
      <c r="K303" s="53" t="s">
        <v>2845</v>
      </c>
      <c r="L303" s="60" t="s">
        <v>9</v>
      </c>
      <c r="M303" s="66" t="n">
        <v>4</v>
      </c>
      <c r="N303" s="67" t="s">
        <v>2732</v>
      </c>
      <c r="O303" s="51" t="s">
        <v>95</v>
      </c>
      <c r="P303" s="54"/>
      <c r="Q303" s="54" t="s">
        <v>131</v>
      </c>
      <c r="R303" s="58" t="s">
        <v>132</v>
      </c>
      <c r="S303" s="54" t="s">
        <v>98</v>
      </c>
    </row>
    <row r="304" customFormat="false" ht="35.05" hidden="false" customHeight="false" outlineLevel="0" collapsed="false">
      <c r="A304" s="51" t="s">
        <v>2846</v>
      </c>
      <c r="B304" s="51" t="n">
        <v>300</v>
      </c>
      <c r="C304" s="52" t="s">
        <v>2847</v>
      </c>
      <c r="D304" s="53" t="s">
        <v>2848</v>
      </c>
      <c r="E304" s="54" t="s">
        <v>2849</v>
      </c>
      <c r="F304" s="54" t="s">
        <v>27</v>
      </c>
      <c r="G304" s="54" t="s">
        <v>2850</v>
      </c>
      <c r="H304" s="54" t="s">
        <v>2851</v>
      </c>
      <c r="I304" s="53" t="s">
        <v>2852</v>
      </c>
      <c r="J304" s="54" t="s">
        <v>2853</v>
      </c>
      <c r="K304" s="53" t="s">
        <v>2854</v>
      </c>
      <c r="L304" s="60" t="s">
        <v>9</v>
      </c>
      <c r="M304" s="66" t="n">
        <v>4</v>
      </c>
      <c r="N304" s="67" t="s">
        <v>2732</v>
      </c>
      <c r="O304" s="51" t="s">
        <v>95</v>
      </c>
      <c r="P304" s="54"/>
      <c r="Q304" s="54" t="s">
        <v>131</v>
      </c>
      <c r="R304" s="58" t="s">
        <v>132</v>
      </c>
      <c r="S304" s="54" t="s">
        <v>98</v>
      </c>
    </row>
    <row r="305" customFormat="false" ht="35.05" hidden="false" customHeight="false" outlineLevel="0" collapsed="false">
      <c r="A305" s="51" t="s">
        <v>2855</v>
      </c>
      <c r="B305" s="51" t="n">
        <v>301</v>
      </c>
      <c r="C305" s="52" t="s">
        <v>2856</v>
      </c>
      <c r="D305" s="53" t="s">
        <v>2857</v>
      </c>
      <c r="E305" s="54" t="s">
        <v>2858</v>
      </c>
      <c r="F305" s="54" t="s">
        <v>27</v>
      </c>
      <c r="G305" s="54" t="s">
        <v>2859</v>
      </c>
      <c r="H305" s="54" t="s">
        <v>2860</v>
      </c>
      <c r="I305" s="53" t="s">
        <v>2861</v>
      </c>
      <c r="J305" s="54" t="s">
        <v>2862</v>
      </c>
      <c r="K305" s="53" t="s">
        <v>2863</v>
      </c>
      <c r="L305" s="60" t="s">
        <v>9</v>
      </c>
      <c r="M305" s="66" t="n">
        <v>4</v>
      </c>
      <c r="N305" s="67" t="s">
        <v>2732</v>
      </c>
      <c r="O305" s="59" t="s">
        <v>161</v>
      </c>
      <c r="P305" s="54" t="s">
        <v>2864</v>
      </c>
      <c r="Q305" s="54" t="s">
        <v>96</v>
      </c>
      <c r="R305" s="58" t="s">
        <v>97</v>
      </c>
      <c r="S305" s="54" t="s">
        <v>98</v>
      </c>
    </row>
    <row r="306" customFormat="false" ht="35.05" hidden="false" customHeight="false" outlineLevel="0" collapsed="false">
      <c r="A306" s="51" t="s">
        <v>2865</v>
      </c>
      <c r="B306" s="51" t="n">
        <v>302</v>
      </c>
      <c r="C306" s="52" t="s">
        <v>2866</v>
      </c>
      <c r="D306" s="53" t="s">
        <v>2867</v>
      </c>
      <c r="E306" s="54" t="s">
        <v>2868</v>
      </c>
      <c r="F306" s="54" t="s">
        <v>176</v>
      </c>
      <c r="G306" s="54" t="s">
        <v>2869</v>
      </c>
      <c r="H306" s="54" t="s">
        <v>2870</v>
      </c>
      <c r="I306" s="53" t="s">
        <v>2871</v>
      </c>
      <c r="J306" s="54" t="s">
        <v>2872</v>
      </c>
      <c r="K306" s="53" t="s">
        <v>2873</v>
      </c>
      <c r="L306" s="60" t="s">
        <v>9</v>
      </c>
      <c r="M306" s="66" t="n">
        <v>4</v>
      </c>
      <c r="N306" s="67" t="s">
        <v>2732</v>
      </c>
      <c r="O306" s="51" t="s">
        <v>95</v>
      </c>
      <c r="P306" s="54"/>
      <c r="Q306" s="54" t="s">
        <v>96</v>
      </c>
      <c r="R306" s="58" t="s">
        <v>97</v>
      </c>
      <c r="S306" s="54" t="s">
        <v>98</v>
      </c>
    </row>
    <row r="307" customFormat="false" ht="35.05" hidden="false" customHeight="false" outlineLevel="0" collapsed="false">
      <c r="A307" s="51" t="s">
        <v>2874</v>
      </c>
      <c r="B307" s="51" t="n">
        <v>303</v>
      </c>
      <c r="C307" s="52" t="s">
        <v>2875</v>
      </c>
      <c r="D307" s="53" t="s">
        <v>2876</v>
      </c>
      <c r="E307" s="54" t="s">
        <v>2877</v>
      </c>
      <c r="F307" s="54" t="s">
        <v>27</v>
      </c>
      <c r="G307" s="54" t="s">
        <v>2878</v>
      </c>
      <c r="H307" s="54" t="s">
        <v>2879</v>
      </c>
      <c r="I307" s="53" t="s">
        <v>2880</v>
      </c>
      <c r="J307" s="54" t="s">
        <v>2881</v>
      </c>
      <c r="K307" s="53" t="s">
        <v>2882</v>
      </c>
      <c r="L307" s="60" t="s">
        <v>9</v>
      </c>
      <c r="M307" s="66" t="n">
        <v>4</v>
      </c>
      <c r="N307" s="67" t="s">
        <v>2732</v>
      </c>
      <c r="O307" s="59" t="s">
        <v>161</v>
      </c>
      <c r="P307" s="54" t="s">
        <v>2752</v>
      </c>
      <c r="Q307" s="54" t="s">
        <v>516</v>
      </c>
      <c r="R307" s="58" t="s">
        <v>517</v>
      </c>
      <c r="S307" s="54" t="s">
        <v>98</v>
      </c>
    </row>
    <row r="308" customFormat="false" ht="35.05" hidden="false" customHeight="false" outlineLevel="0" collapsed="false">
      <c r="A308" s="51" t="s">
        <v>2883</v>
      </c>
      <c r="B308" s="51" t="n">
        <v>304</v>
      </c>
      <c r="C308" s="52" t="s">
        <v>2884</v>
      </c>
      <c r="D308" s="53" t="s">
        <v>2885</v>
      </c>
      <c r="E308" s="54" t="s">
        <v>2886</v>
      </c>
      <c r="F308" s="54" t="s">
        <v>2537</v>
      </c>
      <c r="G308" s="54" t="s">
        <v>2887</v>
      </c>
      <c r="H308" s="54" t="s">
        <v>2888</v>
      </c>
      <c r="I308" s="53" t="s">
        <v>2889</v>
      </c>
      <c r="J308" s="54" t="s">
        <v>2890</v>
      </c>
      <c r="K308" s="53" t="s">
        <v>2891</v>
      </c>
      <c r="L308" s="60" t="s">
        <v>9</v>
      </c>
      <c r="M308" s="66" t="n">
        <v>4</v>
      </c>
      <c r="N308" s="67" t="s">
        <v>2732</v>
      </c>
      <c r="O308" s="51" t="s">
        <v>95</v>
      </c>
      <c r="P308" s="54"/>
      <c r="Q308" s="54" t="s">
        <v>96</v>
      </c>
      <c r="R308" s="58" t="s">
        <v>97</v>
      </c>
      <c r="S308" s="54" t="s">
        <v>98</v>
      </c>
    </row>
    <row r="309" customFormat="false" ht="35.05" hidden="false" customHeight="false" outlineLevel="0" collapsed="false">
      <c r="A309" s="51" t="s">
        <v>2892</v>
      </c>
      <c r="B309" s="51" t="n">
        <v>305</v>
      </c>
      <c r="C309" s="52" t="s">
        <v>2893</v>
      </c>
      <c r="D309" s="53" t="s">
        <v>2894</v>
      </c>
      <c r="E309" s="54" t="s">
        <v>2895</v>
      </c>
      <c r="F309" s="54" t="s">
        <v>137</v>
      </c>
      <c r="G309" s="54" t="s">
        <v>2896</v>
      </c>
      <c r="H309" s="54" t="s">
        <v>2897</v>
      </c>
      <c r="I309" s="53" t="s">
        <v>2898</v>
      </c>
      <c r="J309" s="54" t="s">
        <v>2899</v>
      </c>
      <c r="K309" s="53" t="s">
        <v>2900</v>
      </c>
      <c r="L309" s="60" t="s">
        <v>9</v>
      </c>
      <c r="M309" s="66" t="n">
        <v>4</v>
      </c>
      <c r="N309" s="67" t="s">
        <v>2732</v>
      </c>
      <c r="O309" s="51" t="s">
        <v>95</v>
      </c>
      <c r="P309" s="54"/>
      <c r="Q309" s="54" t="s">
        <v>96</v>
      </c>
      <c r="R309" s="58" t="s">
        <v>97</v>
      </c>
      <c r="S309" s="54" t="s">
        <v>98</v>
      </c>
    </row>
    <row r="310" customFormat="false" ht="35.05" hidden="false" customHeight="false" outlineLevel="0" collapsed="false">
      <c r="A310" s="51" t="s">
        <v>2901</v>
      </c>
      <c r="B310" s="51" t="n">
        <v>306</v>
      </c>
      <c r="C310" s="52" t="s">
        <v>2902</v>
      </c>
      <c r="D310" s="53" t="s">
        <v>2903</v>
      </c>
      <c r="E310" s="54" t="s">
        <v>2904</v>
      </c>
      <c r="F310" s="54" t="s">
        <v>137</v>
      </c>
      <c r="G310" s="54" t="s">
        <v>2905</v>
      </c>
      <c r="H310" s="54" t="s">
        <v>2906</v>
      </c>
      <c r="I310" s="53" t="s">
        <v>2907</v>
      </c>
      <c r="J310" s="54" t="s">
        <v>2908</v>
      </c>
      <c r="K310" s="53" t="s">
        <v>2909</v>
      </c>
      <c r="L310" s="60" t="s">
        <v>9</v>
      </c>
      <c r="M310" s="66" t="n">
        <v>4</v>
      </c>
      <c r="N310" s="67" t="s">
        <v>2732</v>
      </c>
      <c r="O310" s="51" t="s">
        <v>95</v>
      </c>
      <c r="P310" s="54"/>
      <c r="Q310" s="54" t="s">
        <v>96</v>
      </c>
      <c r="R310" s="58" t="s">
        <v>97</v>
      </c>
      <c r="S310" s="54" t="s">
        <v>98</v>
      </c>
    </row>
    <row r="311" customFormat="false" ht="46.25" hidden="false" customHeight="false" outlineLevel="0" collapsed="false">
      <c r="A311" s="51" t="s">
        <v>2910</v>
      </c>
      <c r="B311" s="51" t="n">
        <v>307</v>
      </c>
      <c r="C311" s="52" t="s">
        <v>2911</v>
      </c>
      <c r="D311" s="53" t="s">
        <v>2912</v>
      </c>
      <c r="E311" s="54" t="s">
        <v>2913</v>
      </c>
      <c r="F311" s="54" t="s">
        <v>27</v>
      </c>
      <c r="G311" s="54" t="s">
        <v>2914</v>
      </c>
      <c r="H311" s="54" t="s">
        <v>2915</v>
      </c>
      <c r="I311" s="53" t="s">
        <v>2916</v>
      </c>
      <c r="J311" s="54" t="s">
        <v>2917</v>
      </c>
      <c r="K311" s="53" t="s">
        <v>2918</v>
      </c>
      <c r="L311" s="60" t="s">
        <v>9</v>
      </c>
      <c r="M311" s="66" t="n">
        <v>4</v>
      </c>
      <c r="N311" s="67" t="s">
        <v>2732</v>
      </c>
      <c r="O311" s="59" t="s">
        <v>161</v>
      </c>
      <c r="P311" s="54" t="s">
        <v>2919</v>
      </c>
      <c r="Q311" s="54" t="s">
        <v>621</v>
      </c>
      <c r="R311" s="58" t="s">
        <v>622</v>
      </c>
      <c r="S311" s="54" t="s">
        <v>98</v>
      </c>
    </row>
    <row r="312" customFormat="false" ht="35.05" hidden="false" customHeight="false" outlineLevel="0" collapsed="false">
      <c r="A312" s="51" t="s">
        <v>2920</v>
      </c>
      <c r="B312" s="51" t="n">
        <v>308</v>
      </c>
      <c r="C312" s="52" t="s">
        <v>2921</v>
      </c>
      <c r="D312" s="53" t="s">
        <v>2922</v>
      </c>
      <c r="E312" s="54" t="s">
        <v>2923</v>
      </c>
      <c r="F312" s="54" t="s">
        <v>249</v>
      </c>
      <c r="G312" s="54" t="s">
        <v>2924</v>
      </c>
      <c r="H312" s="54" t="s">
        <v>2925</v>
      </c>
      <c r="I312" s="53" t="s">
        <v>2926</v>
      </c>
      <c r="J312" s="54" t="s">
        <v>2927</v>
      </c>
      <c r="K312" s="53" t="s">
        <v>2928</v>
      </c>
      <c r="L312" s="61" t="s">
        <v>10</v>
      </c>
      <c r="M312" s="66" t="n">
        <v>4</v>
      </c>
      <c r="N312" s="67" t="s">
        <v>2732</v>
      </c>
      <c r="O312" s="51" t="s">
        <v>95</v>
      </c>
      <c r="P312" s="54"/>
      <c r="Q312" s="54" t="s">
        <v>131</v>
      </c>
      <c r="R312" s="58" t="s">
        <v>132</v>
      </c>
      <c r="S312" s="54" t="s">
        <v>98</v>
      </c>
    </row>
    <row r="313" customFormat="false" ht="35.05" hidden="false" customHeight="false" outlineLevel="0" collapsed="false">
      <c r="A313" s="51" t="s">
        <v>2929</v>
      </c>
      <c r="B313" s="51" t="n">
        <v>309</v>
      </c>
      <c r="C313" s="52" t="s">
        <v>2930</v>
      </c>
      <c r="D313" s="53" t="s">
        <v>2931</v>
      </c>
      <c r="E313" s="54" t="s">
        <v>2932</v>
      </c>
      <c r="F313" s="54" t="s">
        <v>103</v>
      </c>
      <c r="G313" s="54" t="s">
        <v>2933</v>
      </c>
      <c r="H313" s="54" t="s">
        <v>2934</v>
      </c>
      <c r="I313" s="53" t="s">
        <v>2935</v>
      </c>
      <c r="J313" s="54" t="s">
        <v>2936</v>
      </c>
      <c r="K313" s="53" t="s">
        <v>2937</v>
      </c>
      <c r="L313" s="61" t="s">
        <v>10</v>
      </c>
      <c r="M313" s="66" t="n">
        <v>4</v>
      </c>
      <c r="N313" s="67" t="s">
        <v>2732</v>
      </c>
      <c r="O313" s="51" t="s">
        <v>95</v>
      </c>
      <c r="P313" s="54"/>
      <c r="Q313" s="54" t="s">
        <v>131</v>
      </c>
      <c r="R313" s="58" t="s">
        <v>132</v>
      </c>
      <c r="S313" s="54" t="s">
        <v>98</v>
      </c>
    </row>
    <row r="314" customFormat="false" ht="35.05" hidden="false" customHeight="false" outlineLevel="0" collapsed="false">
      <c r="A314" s="51" t="s">
        <v>2938</v>
      </c>
      <c r="B314" s="51" t="n">
        <v>310</v>
      </c>
      <c r="C314" s="52" t="s">
        <v>2939</v>
      </c>
      <c r="D314" s="53" t="s">
        <v>2940</v>
      </c>
      <c r="E314" s="54" t="s">
        <v>2941</v>
      </c>
      <c r="F314" s="54" t="s">
        <v>137</v>
      </c>
      <c r="G314" s="54" t="s">
        <v>2942</v>
      </c>
      <c r="H314" s="54" t="s">
        <v>2943</v>
      </c>
      <c r="I314" s="53" t="s">
        <v>2944</v>
      </c>
      <c r="J314" s="54" t="s">
        <v>2945</v>
      </c>
      <c r="K314" s="53" t="s">
        <v>2946</v>
      </c>
      <c r="L314" s="61" t="s">
        <v>10</v>
      </c>
      <c r="M314" s="66" t="n">
        <v>4</v>
      </c>
      <c r="N314" s="67" t="s">
        <v>2732</v>
      </c>
      <c r="O314" s="51" t="s">
        <v>95</v>
      </c>
      <c r="P314" s="54"/>
      <c r="Q314" s="54" t="s">
        <v>96</v>
      </c>
      <c r="R314" s="58" t="s">
        <v>97</v>
      </c>
      <c r="S314" s="54" t="s">
        <v>98</v>
      </c>
    </row>
    <row r="315" customFormat="false" ht="35.05" hidden="false" customHeight="false" outlineLevel="0" collapsed="false">
      <c r="A315" s="51" t="s">
        <v>2947</v>
      </c>
      <c r="B315" s="51" t="n">
        <v>311</v>
      </c>
      <c r="C315" s="52" t="s">
        <v>2948</v>
      </c>
      <c r="D315" s="53" t="s">
        <v>2949</v>
      </c>
      <c r="E315" s="54" t="s">
        <v>2950</v>
      </c>
      <c r="F315" s="54" t="s">
        <v>27</v>
      </c>
      <c r="G315" s="54" t="s">
        <v>2951</v>
      </c>
      <c r="H315" s="54" t="s">
        <v>2952</v>
      </c>
      <c r="I315" s="53" t="s">
        <v>2953</v>
      </c>
      <c r="J315" s="54" t="s">
        <v>2954</v>
      </c>
      <c r="K315" s="53" t="s">
        <v>2955</v>
      </c>
      <c r="L315" s="61" t="s">
        <v>10</v>
      </c>
      <c r="M315" s="66" t="n">
        <v>4</v>
      </c>
      <c r="N315" s="67" t="s">
        <v>2732</v>
      </c>
      <c r="O315" s="51" t="s">
        <v>95</v>
      </c>
      <c r="P315" s="54"/>
      <c r="Q315" s="54" t="s">
        <v>131</v>
      </c>
      <c r="R315" s="58" t="s">
        <v>132</v>
      </c>
      <c r="S315" s="54" t="s">
        <v>98</v>
      </c>
    </row>
    <row r="316" customFormat="false" ht="35.05" hidden="false" customHeight="false" outlineLevel="0" collapsed="false">
      <c r="A316" s="51" t="s">
        <v>2956</v>
      </c>
      <c r="B316" s="51" t="n">
        <v>312</v>
      </c>
      <c r="C316" s="52" t="s">
        <v>2957</v>
      </c>
      <c r="D316" s="53" t="s">
        <v>2958</v>
      </c>
      <c r="E316" s="54" t="s">
        <v>2959</v>
      </c>
      <c r="F316" s="54" t="s">
        <v>823</v>
      </c>
      <c r="G316" s="54" t="s">
        <v>2960</v>
      </c>
      <c r="H316" s="54" t="s">
        <v>2961</v>
      </c>
      <c r="I316" s="53" t="s">
        <v>2962</v>
      </c>
      <c r="J316" s="54" t="s">
        <v>2963</v>
      </c>
      <c r="K316" s="53" t="s">
        <v>2964</v>
      </c>
      <c r="L316" s="61" t="s">
        <v>10</v>
      </c>
      <c r="M316" s="66" t="n">
        <v>4</v>
      </c>
      <c r="N316" s="67" t="s">
        <v>2732</v>
      </c>
      <c r="O316" s="51" t="s">
        <v>95</v>
      </c>
      <c r="P316" s="54"/>
      <c r="Q316" s="54" t="s">
        <v>516</v>
      </c>
      <c r="R316" s="58" t="s">
        <v>517</v>
      </c>
      <c r="S316" s="54" t="s">
        <v>98</v>
      </c>
    </row>
    <row r="317" customFormat="false" ht="35.05" hidden="false" customHeight="false" outlineLevel="0" collapsed="false">
      <c r="A317" s="51" t="s">
        <v>2965</v>
      </c>
      <c r="B317" s="51" t="n">
        <v>313</v>
      </c>
      <c r="C317" s="52" t="s">
        <v>2966</v>
      </c>
      <c r="D317" s="53" t="s">
        <v>2967</v>
      </c>
      <c r="E317" s="54" t="s">
        <v>2968</v>
      </c>
      <c r="F317" s="54" t="s">
        <v>548</v>
      </c>
      <c r="G317" s="54" t="s">
        <v>2969</v>
      </c>
      <c r="H317" s="54" t="s">
        <v>2970</v>
      </c>
      <c r="I317" s="53" t="s">
        <v>2971</v>
      </c>
      <c r="J317" s="54" t="s">
        <v>2972</v>
      </c>
      <c r="K317" s="53" t="s">
        <v>2973</v>
      </c>
      <c r="L317" s="61" t="s">
        <v>10</v>
      </c>
      <c r="M317" s="66" t="n">
        <v>4</v>
      </c>
      <c r="N317" s="67" t="s">
        <v>2732</v>
      </c>
      <c r="O317" s="51" t="s">
        <v>95</v>
      </c>
      <c r="P317" s="54"/>
      <c r="Q317" s="54" t="s">
        <v>516</v>
      </c>
      <c r="R317" s="58" t="s">
        <v>517</v>
      </c>
      <c r="S317" s="54" t="s">
        <v>98</v>
      </c>
    </row>
    <row r="318" customFormat="false" ht="35.05" hidden="false" customHeight="false" outlineLevel="0" collapsed="false">
      <c r="A318" s="51" t="s">
        <v>2974</v>
      </c>
      <c r="B318" s="51" t="n">
        <v>314</v>
      </c>
      <c r="C318" s="52" t="s">
        <v>2975</v>
      </c>
      <c r="D318" s="53" t="s">
        <v>2976</v>
      </c>
      <c r="E318" s="54" t="s">
        <v>2977</v>
      </c>
      <c r="F318" s="54" t="s">
        <v>137</v>
      </c>
      <c r="G318" s="54" t="s">
        <v>2978</v>
      </c>
      <c r="H318" s="54" t="s">
        <v>2979</v>
      </c>
      <c r="I318" s="53" t="s">
        <v>2980</v>
      </c>
      <c r="J318" s="54" t="s">
        <v>2981</v>
      </c>
      <c r="K318" s="53" t="s">
        <v>2982</v>
      </c>
      <c r="L318" s="61" t="s">
        <v>10</v>
      </c>
      <c r="M318" s="66" t="n">
        <v>4</v>
      </c>
      <c r="N318" s="67" t="s">
        <v>2732</v>
      </c>
      <c r="O318" s="51" t="s">
        <v>95</v>
      </c>
      <c r="P318" s="54"/>
      <c r="Q318" s="54" t="s">
        <v>96</v>
      </c>
      <c r="R318" s="58" t="s">
        <v>97</v>
      </c>
      <c r="S318" s="54" t="s">
        <v>98</v>
      </c>
    </row>
    <row r="319" customFormat="false" ht="35.05" hidden="false" customHeight="false" outlineLevel="0" collapsed="false">
      <c r="A319" s="51" t="s">
        <v>2983</v>
      </c>
      <c r="B319" s="51" t="n">
        <v>315</v>
      </c>
      <c r="C319" s="52" t="s">
        <v>2984</v>
      </c>
      <c r="D319" s="53" t="s">
        <v>2985</v>
      </c>
      <c r="E319" s="54" t="s">
        <v>2986</v>
      </c>
      <c r="F319" s="54" t="s">
        <v>249</v>
      </c>
      <c r="G319" s="54" t="s">
        <v>2987</v>
      </c>
      <c r="H319" s="54" t="s">
        <v>2988</v>
      </c>
      <c r="I319" s="53" t="s">
        <v>2989</v>
      </c>
      <c r="J319" s="54" t="s">
        <v>2990</v>
      </c>
      <c r="K319" s="53" t="s">
        <v>2991</v>
      </c>
      <c r="L319" s="61" t="s">
        <v>10</v>
      </c>
      <c r="M319" s="66" t="n">
        <v>4</v>
      </c>
      <c r="N319" s="67" t="s">
        <v>2732</v>
      </c>
      <c r="O319" s="51" t="s">
        <v>95</v>
      </c>
      <c r="P319" s="54"/>
      <c r="Q319" s="54" t="s">
        <v>131</v>
      </c>
      <c r="R319" s="58" t="s">
        <v>132</v>
      </c>
      <c r="S319" s="54" t="s">
        <v>98</v>
      </c>
    </row>
    <row r="320" customFormat="false" ht="35.05" hidden="false" customHeight="false" outlineLevel="0" collapsed="false">
      <c r="A320" s="51" t="s">
        <v>2992</v>
      </c>
      <c r="B320" s="51" t="n">
        <v>316</v>
      </c>
      <c r="C320" s="52" t="s">
        <v>2993</v>
      </c>
      <c r="D320" s="53" t="s">
        <v>2994</v>
      </c>
      <c r="E320" s="54" t="s">
        <v>2995</v>
      </c>
      <c r="F320" s="54" t="s">
        <v>2996</v>
      </c>
      <c r="G320" s="54" t="s">
        <v>2997</v>
      </c>
      <c r="H320" s="54" t="s">
        <v>2998</v>
      </c>
      <c r="I320" s="53" t="s">
        <v>2999</v>
      </c>
      <c r="J320" s="54" t="s">
        <v>3000</v>
      </c>
      <c r="K320" s="53" t="s">
        <v>3001</v>
      </c>
      <c r="L320" s="55" t="s">
        <v>8</v>
      </c>
      <c r="M320" s="68" t="n">
        <v>5</v>
      </c>
      <c r="N320" s="69" t="s">
        <v>3002</v>
      </c>
      <c r="O320" s="51" t="s">
        <v>95</v>
      </c>
      <c r="P320" s="54"/>
      <c r="Q320" s="54" t="s">
        <v>131</v>
      </c>
      <c r="R320" s="58" t="s">
        <v>132</v>
      </c>
      <c r="S320" s="54" t="s">
        <v>98</v>
      </c>
    </row>
    <row r="321" customFormat="false" ht="35.05" hidden="false" customHeight="false" outlineLevel="0" collapsed="false">
      <c r="A321" s="51" t="s">
        <v>3003</v>
      </c>
      <c r="B321" s="51" t="n">
        <v>317</v>
      </c>
      <c r="C321" s="52" t="s">
        <v>3004</v>
      </c>
      <c r="D321" s="53" t="s">
        <v>3005</v>
      </c>
      <c r="E321" s="54" t="s">
        <v>3006</v>
      </c>
      <c r="F321" s="54" t="s">
        <v>115</v>
      </c>
      <c r="G321" s="54" t="s">
        <v>3007</v>
      </c>
      <c r="H321" s="54" t="s">
        <v>3008</v>
      </c>
      <c r="I321" s="53" t="s">
        <v>3009</v>
      </c>
      <c r="J321" s="54" t="s">
        <v>3010</v>
      </c>
      <c r="K321" s="53" t="s">
        <v>3011</v>
      </c>
      <c r="L321" s="55" t="s">
        <v>8</v>
      </c>
      <c r="M321" s="68" t="n">
        <v>5</v>
      </c>
      <c r="N321" s="69" t="s">
        <v>3002</v>
      </c>
      <c r="O321" s="51" t="s">
        <v>95</v>
      </c>
      <c r="P321" s="54"/>
      <c r="Q321" s="54" t="s">
        <v>131</v>
      </c>
      <c r="R321" s="58" t="s">
        <v>132</v>
      </c>
      <c r="S321" s="54" t="s">
        <v>98</v>
      </c>
    </row>
    <row r="322" customFormat="false" ht="46.25" hidden="false" customHeight="false" outlineLevel="0" collapsed="false">
      <c r="A322" s="51" t="s">
        <v>3012</v>
      </c>
      <c r="B322" s="51" t="n">
        <v>318</v>
      </c>
      <c r="C322" s="52" t="s">
        <v>3013</v>
      </c>
      <c r="D322" s="53" t="s">
        <v>3014</v>
      </c>
      <c r="E322" s="54" t="s">
        <v>3015</v>
      </c>
      <c r="F322" s="54" t="s">
        <v>115</v>
      </c>
      <c r="G322" s="54" t="s">
        <v>3016</v>
      </c>
      <c r="H322" s="54" t="s">
        <v>3017</v>
      </c>
      <c r="I322" s="53" t="s">
        <v>3018</v>
      </c>
      <c r="J322" s="54" t="s">
        <v>3019</v>
      </c>
      <c r="K322" s="53" t="s">
        <v>3020</v>
      </c>
      <c r="L322" s="55" t="s">
        <v>8</v>
      </c>
      <c r="M322" s="68" t="n">
        <v>5</v>
      </c>
      <c r="N322" s="69" t="s">
        <v>3002</v>
      </c>
      <c r="O322" s="51" t="s">
        <v>95</v>
      </c>
      <c r="P322" s="54"/>
      <c r="Q322" s="54" t="s">
        <v>109</v>
      </c>
      <c r="R322" s="58" t="s">
        <v>110</v>
      </c>
      <c r="S322" s="54" t="s">
        <v>98</v>
      </c>
    </row>
    <row r="323" customFormat="false" ht="35.05" hidden="false" customHeight="false" outlineLevel="0" collapsed="false">
      <c r="A323" s="51" t="s">
        <v>3021</v>
      </c>
      <c r="B323" s="51" t="n">
        <v>319</v>
      </c>
      <c r="C323" s="52" t="s">
        <v>3022</v>
      </c>
      <c r="D323" s="53" t="s">
        <v>3023</v>
      </c>
      <c r="E323" s="54" t="s">
        <v>3024</v>
      </c>
      <c r="F323" s="54" t="s">
        <v>32</v>
      </c>
      <c r="G323" s="54" t="s">
        <v>3025</v>
      </c>
      <c r="H323" s="54" t="s">
        <v>3026</v>
      </c>
      <c r="I323" s="53" t="s">
        <v>3027</v>
      </c>
      <c r="J323" s="54" t="s">
        <v>3028</v>
      </c>
      <c r="K323" s="53" t="s">
        <v>3029</v>
      </c>
      <c r="L323" s="55" t="s">
        <v>8</v>
      </c>
      <c r="M323" s="68" t="n">
        <v>5</v>
      </c>
      <c r="N323" s="69" t="s">
        <v>3002</v>
      </c>
      <c r="O323" s="51" t="s">
        <v>95</v>
      </c>
      <c r="P323" s="54"/>
      <c r="Q323" s="54" t="s">
        <v>131</v>
      </c>
      <c r="R323" s="58" t="s">
        <v>132</v>
      </c>
      <c r="S323" s="54" t="s">
        <v>98</v>
      </c>
    </row>
    <row r="324" customFormat="false" ht="35.05" hidden="false" customHeight="false" outlineLevel="0" collapsed="false">
      <c r="A324" s="51" t="s">
        <v>3030</v>
      </c>
      <c r="B324" s="51" t="n">
        <v>320</v>
      </c>
      <c r="C324" s="52" t="s">
        <v>3031</v>
      </c>
      <c r="D324" s="53" t="s">
        <v>3032</v>
      </c>
      <c r="E324" s="54" t="s">
        <v>3033</v>
      </c>
      <c r="F324" s="54" t="s">
        <v>3034</v>
      </c>
      <c r="G324" s="54" t="s">
        <v>3035</v>
      </c>
      <c r="H324" s="54" t="s">
        <v>3036</v>
      </c>
      <c r="I324" s="53" t="s">
        <v>3037</v>
      </c>
      <c r="J324" s="54" t="s">
        <v>3038</v>
      </c>
      <c r="K324" s="53" t="s">
        <v>3039</v>
      </c>
      <c r="L324" s="55" t="s">
        <v>8</v>
      </c>
      <c r="M324" s="68" t="n">
        <v>5</v>
      </c>
      <c r="N324" s="69" t="s">
        <v>3002</v>
      </c>
      <c r="O324" s="51" t="s">
        <v>95</v>
      </c>
      <c r="P324" s="54"/>
      <c r="Q324" s="54" t="s">
        <v>131</v>
      </c>
      <c r="R324" s="58" t="s">
        <v>132</v>
      </c>
      <c r="S324" s="54" t="s">
        <v>98</v>
      </c>
    </row>
    <row r="325" customFormat="false" ht="35.05" hidden="false" customHeight="false" outlineLevel="0" collapsed="false">
      <c r="A325" s="51" t="s">
        <v>3040</v>
      </c>
      <c r="B325" s="51" t="n">
        <v>321</v>
      </c>
      <c r="C325" s="52" t="s">
        <v>3041</v>
      </c>
      <c r="D325" s="53" t="s">
        <v>3042</v>
      </c>
      <c r="E325" s="54" t="s">
        <v>3043</v>
      </c>
      <c r="F325" s="54" t="s">
        <v>32</v>
      </c>
      <c r="G325" s="54" t="s">
        <v>3044</v>
      </c>
      <c r="H325" s="54" t="s">
        <v>3045</v>
      </c>
      <c r="I325" s="53" t="s">
        <v>3046</v>
      </c>
      <c r="J325" s="54" t="s">
        <v>3047</v>
      </c>
      <c r="K325" s="53" t="s">
        <v>3048</v>
      </c>
      <c r="L325" s="55" t="s">
        <v>8</v>
      </c>
      <c r="M325" s="68" t="n">
        <v>5</v>
      </c>
      <c r="N325" s="69" t="s">
        <v>3002</v>
      </c>
      <c r="O325" s="51" t="s">
        <v>95</v>
      </c>
      <c r="P325" s="54"/>
      <c r="Q325" s="54" t="s">
        <v>131</v>
      </c>
      <c r="R325" s="58" t="s">
        <v>132</v>
      </c>
      <c r="S325" s="54" t="s">
        <v>98</v>
      </c>
    </row>
    <row r="326" customFormat="false" ht="35.05" hidden="false" customHeight="false" outlineLevel="0" collapsed="false">
      <c r="A326" s="51" t="s">
        <v>3049</v>
      </c>
      <c r="B326" s="51" t="n">
        <v>322</v>
      </c>
      <c r="C326" s="52" t="s">
        <v>32</v>
      </c>
      <c r="D326" s="53" t="s">
        <v>33</v>
      </c>
      <c r="E326" s="54" t="s">
        <v>3050</v>
      </c>
      <c r="F326" s="54" t="s">
        <v>32</v>
      </c>
      <c r="G326" s="54" t="s">
        <v>3051</v>
      </c>
      <c r="H326" s="54" t="s">
        <v>3052</v>
      </c>
      <c r="I326" s="53" t="s">
        <v>3053</v>
      </c>
      <c r="J326" s="54" t="s">
        <v>3054</v>
      </c>
      <c r="K326" s="53" t="s">
        <v>3055</v>
      </c>
      <c r="L326" s="55" t="s">
        <v>8</v>
      </c>
      <c r="M326" s="68" t="n">
        <v>5</v>
      </c>
      <c r="N326" s="69" t="s">
        <v>3002</v>
      </c>
      <c r="O326" s="51" t="s">
        <v>95</v>
      </c>
      <c r="P326" s="54"/>
      <c r="Q326" s="54" t="s">
        <v>131</v>
      </c>
      <c r="R326" s="58" t="s">
        <v>132</v>
      </c>
      <c r="S326" s="54" t="s">
        <v>98</v>
      </c>
    </row>
    <row r="327" customFormat="false" ht="35.05" hidden="false" customHeight="false" outlineLevel="0" collapsed="false">
      <c r="A327" s="51" t="s">
        <v>3056</v>
      </c>
      <c r="B327" s="51" t="n">
        <v>323</v>
      </c>
      <c r="C327" s="52" t="s">
        <v>3057</v>
      </c>
      <c r="D327" s="53" t="s">
        <v>3058</v>
      </c>
      <c r="E327" s="54" t="s">
        <v>3059</v>
      </c>
      <c r="F327" s="54" t="s">
        <v>32</v>
      </c>
      <c r="G327" s="54" t="s">
        <v>3060</v>
      </c>
      <c r="H327" s="54" t="s">
        <v>3061</v>
      </c>
      <c r="I327" s="53" t="s">
        <v>3062</v>
      </c>
      <c r="J327" s="54" t="s">
        <v>3063</v>
      </c>
      <c r="K327" s="53" t="s">
        <v>3064</v>
      </c>
      <c r="L327" s="55" t="s">
        <v>8</v>
      </c>
      <c r="M327" s="68" t="n">
        <v>5</v>
      </c>
      <c r="N327" s="69" t="s">
        <v>3002</v>
      </c>
      <c r="O327" s="51" t="s">
        <v>95</v>
      </c>
      <c r="P327" s="54"/>
      <c r="Q327" s="54" t="s">
        <v>131</v>
      </c>
      <c r="R327" s="58" t="s">
        <v>132</v>
      </c>
      <c r="S327" s="54" t="s">
        <v>98</v>
      </c>
    </row>
    <row r="328" customFormat="false" ht="35.05" hidden="false" customHeight="false" outlineLevel="0" collapsed="false">
      <c r="A328" s="51" t="s">
        <v>3065</v>
      </c>
      <c r="B328" s="51" t="n">
        <v>324</v>
      </c>
      <c r="C328" s="52" t="s">
        <v>3066</v>
      </c>
      <c r="D328" s="53" t="s">
        <v>3067</v>
      </c>
      <c r="E328" s="54" t="s">
        <v>3068</v>
      </c>
      <c r="F328" s="54" t="s">
        <v>32</v>
      </c>
      <c r="G328" s="54" t="s">
        <v>3069</v>
      </c>
      <c r="H328" s="54" t="s">
        <v>3070</v>
      </c>
      <c r="I328" s="53" t="s">
        <v>3071</v>
      </c>
      <c r="J328" s="54" t="s">
        <v>3072</v>
      </c>
      <c r="K328" s="53" t="s">
        <v>3073</v>
      </c>
      <c r="L328" s="55" t="s">
        <v>8</v>
      </c>
      <c r="M328" s="68" t="n">
        <v>5</v>
      </c>
      <c r="N328" s="69" t="s">
        <v>3002</v>
      </c>
      <c r="O328" s="51" t="s">
        <v>95</v>
      </c>
      <c r="P328" s="54"/>
      <c r="Q328" s="54" t="s">
        <v>131</v>
      </c>
      <c r="R328" s="58" t="s">
        <v>132</v>
      </c>
      <c r="S328" s="54" t="s">
        <v>98</v>
      </c>
    </row>
    <row r="329" customFormat="false" ht="35.05" hidden="false" customHeight="false" outlineLevel="0" collapsed="false">
      <c r="A329" s="51" t="s">
        <v>3074</v>
      </c>
      <c r="B329" s="51" t="n">
        <v>325</v>
      </c>
      <c r="C329" s="52" t="s">
        <v>3075</v>
      </c>
      <c r="D329" s="53" t="s">
        <v>3076</v>
      </c>
      <c r="E329" s="54" t="s">
        <v>3077</v>
      </c>
      <c r="F329" s="54" t="s">
        <v>115</v>
      </c>
      <c r="G329" s="54" t="s">
        <v>3078</v>
      </c>
      <c r="H329" s="54" t="s">
        <v>3079</v>
      </c>
      <c r="I329" s="53" t="s">
        <v>3080</v>
      </c>
      <c r="J329" s="54" t="s">
        <v>3081</v>
      </c>
      <c r="K329" s="53" t="s">
        <v>3082</v>
      </c>
      <c r="L329" s="55" t="s">
        <v>8</v>
      </c>
      <c r="M329" s="68" t="n">
        <v>5</v>
      </c>
      <c r="N329" s="69" t="s">
        <v>3002</v>
      </c>
      <c r="O329" s="51" t="s">
        <v>95</v>
      </c>
      <c r="P329" s="54"/>
      <c r="Q329" s="54" t="s">
        <v>131</v>
      </c>
      <c r="R329" s="58" t="s">
        <v>132</v>
      </c>
      <c r="S329" s="54" t="s">
        <v>98</v>
      </c>
    </row>
    <row r="330" customFormat="false" ht="35.05" hidden="false" customHeight="false" outlineLevel="0" collapsed="false">
      <c r="A330" s="51" t="s">
        <v>3083</v>
      </c>
      <c r="B330" s="51" t="n">
        <v>326</v>
      </c>
      <c r="C330" s="52" t="s">
        <v>3084</v>
      </c>
      <c r="D330" s="53" t="s">
        <v>3085</v>
      </c>
      <c r="E330" s="54" t="s">
        <v>3086</v>
      </c>
      <c r="F330" s="54" t="s">
        <v>2996</v>
      </c>
      <c r="G330" s="54" t="s">
        <v>3087</v>
      </c>
      <c r="H330" s="54" t="s">
        <v>3088</v>
      </c>
      <c r="I330" s="53" t="s">
        <v>3089</v>
      </c>
      <c r="J330" s="54" t="s">
        <v>3090</v>
      </c>
      <c r="K330" s="53" t="s">
        <v>3091</v>
      </c>
      <c r="L330" s="55" t="s">
        <v>8</v>
      </c>
      <c r="M330" s="68" t="n">
        <v>5</v>
      </c>
      <c r="N330" s="69" t="s">
        <v>3002</v>
      </c>
      <c r="O330" s="51" t="s">
        <v>95</v>
      </c>
      <c r="P330" s="54"/>
      <c r="Q330" s="54" t="s">
        <v>131</v>
      </c>
      <c r="R330" s="58" t="s">
        <v>132</v>
      </c>
      <c r="S330" s="54" t="s">
        <v>98</v>
      </c>
    </row>
    <row r="331" customFormat="false" ht="35.05" hidden="false" customHeight="false" outlineLevel="0" collapsed="false">
      <c r="A331" s="51" t="s">
        <v>3092</v>
      </c>
      <c r="B331" s="51" t="n">
        <v>327</v>
      </c>
      <c r="C331" s="52" t="s">
        <v>3093</v>
      </c>
      <c r="D331" s="53" t="s">
        <v>3094</v>
      </c>
      <c r="E331" s="54" t="s">
        <v>3095</v>
      </c>
      <c r="F331" s="54" t="s">
        <v>2996</v>
      </c>
      <c r="G331" s="54" t="s">
        <v>3096</v>
      </c>
      <c r="H331" s="54" t="s">
        <v>3097</v>
      </c>
      <c r="I331" s="53" t="s">
        <v>3098</v>
      </c>
      <c r="J331" s="54" t="s">
        <v>3099</v>
      </c>
      <c r="K331" s="53" t="s">
        <v>3100</v>
      </c>
      <c r="L331" s="55" t="s">
        <v>8</v>
      </c>
      <c r="M331" s="68" t="n">
        <v>5</v>
      </c>
      <c r="N331" s="69" t="s">
        <v>3002</v>
      </c>
      <c r="O331" s="51" t="s">
        <v>95</v>
      </c>
      <c r="P331" s="54"/>
      <c r="Q331" s="54" t="s">
        <v>131</v>
      </c>
      <c r="R331" s="58" t="s">
        <v>132</v>
      </c>
      <c r="S331" s="54" t="s">
        <v>98</v>
      </c>
    </row>
    <row r="332" customFormat="false" ht="35.05" hidden="false" customHeight="false" outlineLevel="0" collapsed="false">
      <c r="A332" s="51" t="s">
        <v>3101</v>
      </c>
      <c r="B332" s="51" t="n">
        <v>328</v>
      </c>
      <c r="C332" s="52" t="s">
        <v>3102</v>
      </c>
      <c r="D332" s="53" t="s">
        <v>3103</v>
      </c>
      <c r="E332" s="54" t="s">
        <v>3104</v>
      </c>
      <c r="F332" s="54" t="s">
        <v>2996</v>
      </c>
      <c r="G332" s="54" t="s">
        <v>3105</v>
      </c>
      <c r="H332" s="54" t="s">
        <v>3106</v>
      </c>
      <c r="I332" s="53" t="s">
        <v>3107</v>
      </c>
      <c r="J332" s="54" t="s">
        <v>3108</v>
      </c>
      <c r="K332" s="53" t="s">
        <v>3109</v>
      </c>
      <c r="L332" s="55" t="s">
        <v>8</v>
      </c>
      <c r="M332" s="68" t="n">
        <v>5</v>
      </c>
      <c r="N332" s="69" t="s">
        <v>3002</v>
      </c>
      <c r="O332" s="51" t="s">
        <v>95</v>
      </c>
      <c r="P332" s="54"/>
      <c r="Q332" s="54" t="s">
        <v>131</v>
      </c>
      <c r="R332" s="58" t="s">
        <v>132</v>
      </c>
      <c r="S332" s="54" t="s">
        <v>98</v>
      </c>
    </row>
    <row r="333" customFormat="false" ht="35.05" hidden="false" customHeight="false" outlineLevel="0" collapsed="false">
      <c r="A333" s="51" t="s">
        <v>3110</v>
      </c>
      <c r="B333" s="51" t="n">
        <v>329</v>
      </c>
      <c r="C333" s="52" t="s">
        <v>3111</v>
      </c>
      <c r="D333" s="53" t="s">
        <v>3112</v>
      </c>
      <c r="E333" s="54" t="s">
        <v>3113</v>
      </c>
      <c r="F333" s="54" t="s">
        <v>115</v>
      </c>
      <c r="G333" s="54" t="s">
        <v>3114</v>
      </c>
      <c r="H333" s="54" t="s">
        <v>3115</v>
      </c>
      <c r="I333" s="53" t="s">
        <v>3116</v>
      </c>
      <c r="J333" s="54" t="s">
        <v>3117</v>
      </c>
      <c r="K333" s="53" t="s">
        <v>3118</v>
      </c>
      <c r="L333" s="55" t="s">
        <v>8</v>
      </c>
      <c r="M333" s="68" t="n">
        <v>5</v>
      </c>
      <c r="N333" s="69" t="s">
        <v>3002</v>
      </c>
      <c r="O333" s="51" t="s">
        <v>95</v>
      </c>
      <c r="P333" s="54"/>
      <c r="Q333" s="54" t="s">
        <v>131</v>
      </c>
      <c r="R333" s="58" t="s">
        <v>132</v>
      </c>
      <c r="S333" s="54" t="s">
        <v>98</v>
      </c>
    </row>
    <row r="334" customFormat="false" ht="35.05" hidden="false" customHeight="false" outlineLevel="0" collapsed="false">
      <c r="A334" s="51" t="s">
        <v>3119</v>
      </c>
      <c r="B334" s="51" t="n">
        <v>330</v>
      </c>
      <c r="C334" s="52" t="s">
        <v>3120</v>
      </c>
      <c r="D334" s="53" t="s">
        <v>3121</v>
      </c>
      <c r="E334" s="54" t="s">
        <v>3122</v>
      </c>
      <c r="F334" s="54" t="s">
        <v>2996</v>
      </c>
      <c r="G334" s="54" t="s">
        <v>3123</v>
      </c>
      <c r="H334" s="54" t="s">
        <v>3124</v>
      </c>
      <c r="I334" s="53" t="s">
        <v>3125</v>
      </c>
      <c r="J334" s="54" t="s">
        <v>3126</v>
      </c>
      <c r="K334" s="53" t="s">
        <v>3127</v>
      </c>
      <c r="L334" s="55" t="s">
        <v>8</v>
      </c>
      <c r="M334" s="68" t="n">
        <v>5</v>
      </c>
      <c r="N334" s="69" t="s">
        <v>3002</v>
      </c>
      <c r="O334" s="51" t="s">
        <v>95</v>
      </c>
      <c r="P334" s="54"/>
      <c r="Q334" s="54" t="s">
        <v>131</v>
      </c>
      <c r="R334" s="58" t="s">
        <v>132</v>
      </c>
      <c r="S334" s="54" t="s">
        <v>98</v>
      </c>
    </row>
    <row r="335" customFormat="false" ht="35.05" hidden="false" customHeight="false" outlineLevel="0" collapsed="false">
      <c r="A335" s="51" t="s">
        <v>3128</v>
      </c>
      <c r="B335" s="51" t="n">
        <v>331</v>
      </c>
      <c r="C335" s="52" t="s">
        <v>3129</v>
      </c>
      <c r="D335" s="53" t="s">
        <v>3130</v>
      </c>
      <c r="E335" s="54" t="s">
        <v>3131</v>
      </c>
      <c r="F335" s="54" t="s">
        <v>3132</v>
      </c>
      <c r="G335" s="54" t="s">
        <v>3133</v>
      </c>
      <c r="H335" s="54" t="s">
        <v>3134</v>
      </c>
      <c r="I335" s="53" t="s">
        <v>3135</v>
      </c>
      <c r="J335" s="54" t="s">
        <v>3136</v>
      </c>
      <c r="K335" s="53" t="s">
        <v>3137</v>
      </c>
      <c r="L335" s="55" t="s">
        <v>8</v>
      </c>
      <c r="M335" s="68" t="n">
        <v>5</v>
      </c>
      <c r="N335" s="69" t="s">
        <v>3002</v>
      </c>
      <c r="O335" s="51" t="s">
        <v>95</v>
      </c>
      <c r="P335" s="54"/>
      <c r="Q335" s="54" t="s">
        <v>131</v>
      </c>
      <c r="R335" s="58" t="s">
        <v>132</v>
      </c>
      <c r="S335" s="54" t="s">
        <v>98</v>
      </c>
    </row>
    <row r="336" customFormat="false" ht="46.25" hidden="false" customHeight="false" outlineLevel="0" collapsed="false">
      <c r="A336" s="51" t="s">
        <v>3138</v>
      </c>
      <c r="B336" s="51" t="n">
        <v>332</v>
      </c>
      <c r="C336" s="52" t="s">
        <v>3139</v>
      </c>
      <c r="D336" s="53" t="s">
        <v>3140</v>
      </c>
      <c r="E336" s="54" t="s">
        <v>3141</v>
      </c>
      <c r="F336" s="54" t="s">
        <v>32</v>
      </c>
      <c r="G336" s="54" t="s">
        <v>3142</v>
      </c>
      <c r="H336" s="54" t="s">
        <v>3143</v>
      </c>
      <c r="I336" s="53" t="s">
        <v>3144</v>
      </c>
      <c r="J336" s="54" t="s">
        <v>3145</v>
      </c>
      <c r="K336" s="53" t="s">
        <v>3146</v>
      </c>
      <c r="L336" s="55" t="s">
        <v>8</v>
      </c>
      <c r="M336" s="68" t="n">
        <v>5</v>
      </c>
      <c r="N336" s="69" t="s">
        <v>3002</v>
      </c>
      <c r="O336" s="59" t="s">
        <v>161</v>
      </c>
      <c r="P336" s="54" t="s">
        <v>2781</v>
      </c>
      <c r="Q336" s="54" t="s">
        <v>131</v>
      </c>
      <c r="R336" s="58" t="s">
        <v>132</v>
      </c>
      <c r="S336" s="54" t="s">
        <v>3147</v>
      </c>
    </row>
    <row r="337" customFormat="false" ht="35.05" hidden="false" customHeight="false" outlineLevel="0" collapsed="false">
      <c r="A337" s="51" t="s">
        <v>3148</v>
      </c>
      <c r="B337" s="51" t="n">
        <v>333</v>
      </c>
      <c r="C337" s="52" t="s">
        <v>3149</v>
      </c>
      <c r="D337" s="53" t="s">
        <v>3150</v>
      </c>
      <c r="E337" s="54" t="s">
        <v>3151</v>
      </c>
      <c r="F337" s="54" t="s">
        <v>3132</v>
      </c>
      <c r="G337" s="54" t="s">
        <v>3152</v>
      </c>
      <c r="H337" s="54" t="s">
        <v>3153</v>
      </c>
      <c r="I337" s="53" t="s">
        <v>3154</v>
      </c>
      <c r="J337" s="54" t="s">
        <v>3155</v>
      </c>
      <c r="K337" s="53" t="s">
        <v>3156</v>
      </c>
      <c r="L337" s="55" t="s">
        <v>8</v>
      </c>
      <c r="M337" s="68" t="n">
        <v>5</v>
      </c>
      <c r="N337" s="69" t="s">
        <v>3002</v>
      </c>
      <c r="O337" s="51" t="s">
        <v>95</v>
      </c>
      <c r="P337" s="54"/>
      <c r="Q337" s="54" t="s">
        <v>131</v>
      </c>
      <c r="R337" s="58" t="s">
        <v>132</v>
      </c>
      <c r="S337" s="54" t="s">
        <v>98</v>
      </c>
    </row>
    <row r="338" customFormat="false" ht="35.05" hidden="false" customHeight="false" outlineLevel="0" collapsed="false">
      <c r="A338" s="51" t="s">
        <v>3157</v>
      </c>
      <c r="B338" s="51" t="n">
        <v>334</v>
      </c>
      <c r="C338" s="52" t="s">
        <v>3158</v>
      </c>
      <c r="D338" s="53" t="s">
        <v>3159</v>
      </c>
      <c r="E338" s="54" t="s">
        <v>3160</v>
      </c>
      <c r="F338" s="54" t="s">
        <v>261</v>
      </c>
      <c r="G338" s="54" t="s">
        <v>3161</v>
      </c>
      <c r="H338" s="54" t="s">
        <v>3162</v>
      </c>
      <c r="I338" s="53" t="s">
        <v>3163</v>
      </c>
      <c r="J338" s="54" t="s">
        <v>3164</v>
      </c>
      <c r="K338" s="53" t="s">
        <v>3165</v>
      </c>
      <c r="L338" s="55" t="s">
        <v>8</v>
      </c>
      <c r="M338" s="68" t="n">
        <v>5</v>
      </c>
      <c r="N338" s="69" t="s">
        <v>3002</v>
      </c>
      <c r="O338" s="59" t="s">
        <v>161</v>
      </c>
      <c r="P338" s="54" t="s">
        <v>304</v>
      </c>
      <c r="Q338" s="54" t="s">
        <v>131</v>
      </c>
      <c r="R338" s="58" t="s">
        <v>132</v>
      </c>
      <c r="S338" s="54" t="s">
        <v>98</v>
      </c>
    </row>
    <row r="339" customFormat="false" ht="35.05" hidden="false" customHeight="false" outlineLevel="0" collapsed="false">
      <c r="A339" s="51" t="s">
        <v>3166</v>
      </c>
      <c r="B339" s="51" t="n">
        <v>335</v>
      </c>
      <c r="C339" s="52" t="s">
        <v>3167</v>
      </c>
      <c r="D339" s="53" t="s">
        <v>3168</v>
      </c>
      <c r="E339" s="54" t="s">
        <v>3169</v>
      </c>
      <c r="F339" s="54" t="s">
        <v>2996</v>
      </c>
      <c r="G339" s="54" t="s">
        <v>3170</v>
      </c>
      <c r="H339" s="54" t="s">
        <v>3171</v>
      </c>
      <c r="I339" s="53" t="s">
        <v>3172</v>
      </c>
      <c r="J339" s="54" t="s">
        <v>3173</v>
      </c>
      <c r="K339" s="53" t="s">
        <v>3174</v>
      </c>
      <c r="L339" s="55" t="s">
        <v>8</v>
      </c>
      <c r="M339" s="68" t="n">
        <v>5</v>
      </c>
      <c r="N339" s="69" t="s">
        <v>3002</v>
      </c>
      <c r="O339" s="51" t="s">
        <v>95</v>
      </c>
      <c r="P339" s="54"/>
      <c r="Q339" s="54" t="s">
        <v>131</v>
      </c>
      <c r="R339" s="58" t="s">
        <v>132</v>
      </c>
      <c r="S339" s="54" t="s">
        <v>98</v>
      </c>
    </row>
    <row r="340" customFormat="false" ht="35.05" hidden="false" customHeight="false" outlineLevel="0" collapsed="false">
      <c r="A340" s="51" t="s">
        <v>3175</v>
      </c>
      <c r="B340" s="51" t="n">
        <v>336</v>
      </c>
      <c r="C340" s="52" t="s">
        <v>3176</v>
      </c>
      <c r="D340" s="53" t="s">
        <v>3177</v>
      </c>
      <c r="E340" s="54" t="s">
        <v>3178</v>
      </c>
      <c r="F340" s="54" t="s">
        <v>32</v>
      </c>
      <c r="G340" s="54" t="s">
        <v>3179</v>
      </c>
      <c r="H340" s="54" t="s">
        <v>3180</v>
      </c>
      <c r="I340" s="53" t="s">
        <v>3181</v>
      </c>
      <c r="J340" s="54" t="s">
        <v>3182</v>
      </c>
      <c r="K340" s="53" t="s">
        <v>3183</v>
      </c>
      <c r="L340" s="55" t="s">
        <v>8</v>
      </c>
      <c r="M340" s="68" t="n">
        <v>5</v>
      </c>
      <c r="N340" s="69" t="s">
        <v>3002</v>
      </c>
      <c r="O340" s="59" t="s">
        <v>161</v>
      </c>
      <c r="P340" s="54" t="s">
        <v>3184</v>
      </c>
      <c r="Q340" s="54" t="s">
        <v>131</v>
      </c>
      <c r="R340" s="58" t="s">
        <v>132</v>
      </c>
      <c r="S340" s="54" t="s">
        <v>98</v>
      </c>
    </row>
    <row r="341" customFormat="false" ht="35.05" hidden="false" customHeight="false" outlineLevel="0" collapsed="false">
      <c r="A341" s="51" t="s">
        <v>3185</v>
      </c>
      <c r="B341" s="51" t="n">
        <v>337</v>
      </c>
      <c r="C341" s="52" t="s">
        <v>3186</v>
      </c>
      <c r="D341" s="53" t="s">
        <v>3187</v>
      </c>
      <c r="E341" s="54" t="s">
        <v>3188</v>
      </c>
      <c r="F341" s="54" t="s">
        <v>32</v>
      </c>
      <c r="G341" s="54" t="s">
        <v>3189</v>
      </c>
      <c r="H341" s="54" t="s">
        <v>3190</v>
      </c>
      <c r="I341" s="53" t="s">
        <v>3191</v>
      </c>
      <c r="J341" s="54" t="s">
        <v>3192</v>
      </c>
      <c r="K341" s="53" t="s">
        <v>3193</v>
      </c>
      <c r="L341" s="55" t="s">
        <v>8</v>
      </c>
      <c r="M341" s="68" t="n">
        <v>5</v>
      </c>
      <c r="N341" s="69" t="s">
        <v>3002</v>
      </c>
      <c r="O341" s="51" t="s">
        <v>95</v>
      </c>
      <c r="P341" s="54"/>
      <c r="Q341" s="54" t="s">
        <v>131</v>
      </c>
      <c r="R341" s="58" t="s">
        <v>132</v>
      </c>
      <c r="S341" s="54" t="s">
        <v>98</v>
      </c>
    </row>
    <row r="342" customFormat="false" ht="35.05" hidden="false" customHeight="false" outlineLevel="0" collapsed="false">
      <c r="A342" s="51" t="s">
        <v>3194</v>
      </c>
      <c r="B342" s="51" t="n">
        <v>338</v>
      </c>
      <c r="C342" s="52" t="s">
        <v>3195</v>
      </c>
      <c r="D342" s="53" t="s">
        <v>3196</v>
      </c>
      <c r="E342" s="54" t="s">
        <v>3197</v>
      </c>
      <c r="F342" s="54" t="s">
        <v>2996</v>
      </c>
      <c r="G342" s="54" t="s">
        <v>3198</v>
      </c>
      <c r="H342" s="54" t="s">
        <v>3199</v>
      </c>
      <c r="I342" s="53" t="s">
        <v>3200</v>
      </c>
      <c r="J342" s="54" t="s">
        <v>3201</v>
      </c>
      <c r="K342" s="53" t="s">
        <v>3202</v>
      </c>
      <c r="L342" s="55" t="s">
        <v>8</v>
      </c>
      <c r="M342" s="68" t="n">
        <v>5</v>
      </c>
      <c r="N342" s="69" t="s">
        <v>3002</v>
      </c>
      <c r="O342" s="51" t="s">
        <v>95</v>
      </c>
      <c r="P342" s="54"/>
      <c r="Q342" s="54" t="s">
        <v>131</v>
      </c>
      <c r="R342" s="58" t="s">
        <v>132</v>
      </c>
      <c r="S342" s="54" t="s">
        <v>98</v>
      </c>
    </row>
    <row r="343" customFormat="false" ht="35.05" hidden="false" customHeight="false" outlineLevel="0" collapsed="false">
      <c r="A343" s="51" t="s">
        <v>3203</v>
      </c>
      <c r="B343" s="51" t="n">
        <v>339</v>
      </c>
      <c r="C343" s="52" t="s">
        <v>3204</v>
      </c>
      <c r="D343" s="53" t="s">
        <v>3205</v>
      </c>
      <c r="E343" s="54" t="s">
        <v>3206</v>
      </c>
      <c r="F343" s="54" t="s">
        <v>32</v>
      </c>
      <c r="G343" s="54" t="s">
        <v>3207</v>
      </c>
      <c r="H343" s="54" t="s">
        <v>3208</v>
      </c>
      <c r="I343" s="53" t="s">
        <v>3209</v>
      </c>
      <c r="J343" s="54" t="s">
        <v>3210</v>
      </c>
      <c r="K343" s="53" t="s">
        <v>3211</v>
      </c>
      <c r="L343" s="60" t="s">
        <v>9</v>
      </c>
      <c r="M343" s="68" t="n">
        <v>5</v>
      </c>
      <c r="N343" s="69" t="s">
        <v>3002</v>
      </c>
      <c r="O343" s="51" t="s">
        <v>95</v>
      </c>
      <c r="P343" s="54"/>
      <c r="Q343" s="54" t="s">
        <v>131</v>
      </c>
      <c r="R343" s="58" t="s">
        <v>132</v>
      </c>
      <c r="S343" s="54" t="s">
        <v>98</v>
      </c>
    </row>
    <row r="344" customFormat="false" ht="35.05" hidden="false" customHeight="false" outlineLevel="0" collapsed="false">
      <c r="A344" s="51" t="s">
        <v>3212</v>
      </c>
      <c r="B344" s="51" t="n">
        <v>340</v>
      </c>
      <c r="C344" s="52" t="s">
        <v>3213</v>
      </c>
      <c r="D344" s="53" t="s">
        <v>3214</v>
      </c>
      <c r="E344" s="54" t="s">
        <v>2253</v>
      </c>
      <c r="F344" s="54" t="s">
        <v>176</v>
      </c>
      <c r="G344" s="54" t="s">
        <v>3215</v>
      </c>
      <c r="H344" s="54" t="s">
        <v>3216</v>
      </c>
      <c r="I344" s="53" t="s">
        <v>3217</v>
      </c>
      <c r="J344" s="54" t="s">
        <v>3218</v>
      </c>
      <c r="K344" s="53" t="s">
        <v>3219</v>
      </c>
      <c r="L344" s="60" t="s">
        <v>9</v>
      </c>
      <c r="M344" s="68" t="n">
        <v>5</v>
      </c>
      <c r="N344" s="69" t="s">
        <v>3002</v>
      </c>
      <c r="O344" s="51" t="s">
        <v>95</v>
      </c>
      <c r="P344" s="54"/>
      <c r="Q344" s="54" t="s">
        <v>131</v>
      </c>
      <c r="R344" s="58" t="s">
        <v>132</v>
      </c>
      <c r="S344" s="54" t="s">
        <v>98</v>
      </c>
    </row>
    <row r="345" customFormat="false" ht="35.05" hidden="false" customHeight="false" outlineLevel="0" collapsed="false">
      <c r="A345" s="51" t="s">
        <v>3220</v>
      </c>
      <c r="B345" s="51" t="n">
        <v>341</v>
      </c>
      <c r="C345" s="52" t="s">
        <v>3221</v>
      </c>
      <c r="D345" s="53" t="s">
        <v>3222</v>
      </c>
      <c r="E345" s="54" t="s">
        <v>3223</v>
      </c>
      <c r="F345" s="54" t="s">
        <v>32</v>
      </c>
      <c r="G345" s="54" t="s">
        <v>3224</v>
      </c>
      <c r="H345" s="54" t="s">
        <v>3225</v>
      </c>
      <c r="I345" s="53" t="s">
        <v>3226</v>
      </c>
      <c r="J345" s="54" t="s">
        <v>3227</v>
      </c>
      <c r="K345" s="53" t="s">
        <v>3228</v>
      </c>
      <c r="L345" s="60" t="s">
        <v>9</v>
      </c>
      <c r="M345" s="68" t="n">
        <v>5</v>
      </c>
      <c r="N345" s="69" t="s">
        <v>3002</v>
      </c>
      <c r="O345" s="51" t="s">
        <v>95</v>
      </c>
      <c r="P345" s="54"/>
      <c r="Q345" s="54" t="s">
        <v>131</v>
      </c>
      <c r="R345" s="58" t="s">
        <v>132</v>
      </c>
      <c r="S345" s="54" t="s">
        <v>98</v>
      </c>
    </row>
    <row r="346" customFormat="false" ht="35.05" hidden="false" customHeight="false" outlineLevel="0" collapsed="false">
      <c r="A346" s="51" t="s">
        <v>3229</v>
      </c>
      <c r="B346" s="51" t="n">
        <v>342</v>
      </c>
      <c r="C346" s="52" t="s">
        <v>3230</v>
      </c>
      <c r="D346" s="53" t="s">
        <v>3231</v>
      </c>
      <c r="E346" s="54" t="s">
        <v>3232</v>
      </c>
      <c r="F346" s="54" t="s">
        <v>261</v>
      </c>
      <c r="G346" s="54" t="s">
        <v>3233</v>
      </c>
      <c r="H346" s="54" t="s">
        <v>3234</v>
      </c>
      <c r="I346" s="53" t="s">
        <v>3235</v>
      </c>
      <c r="J346" s="54" t="s">
        <v>3236</v>
      </c>
      <c r="K346" s="53" t="s">
        <v>3237</v>
      </c>
      <c r="L346" s="60" t="s">
        <v>9</v>
      </c>
      <c r="M346" s="68" t="n">
        <v>5</v>
      </c>
      <c r="N346" s="69" t="s">
        <v>3002</v>
      </c>
      <c r="O346" s="51" t="s">
        <v>95</v>
      </c>
      <c r="P346" s="54"/>
      <c r="Q346" s="54" t="s">
        <v>131</v>
      </c>
      <c r="R346" s="58" t="s">
        <v>132</v>
      </c>
      <c r="S346" s="54" t="s">
        <v>98</v>
      </c>
    </row>
    <row r="347" customFormat="false" ht="35.05" hidden="false" customHeight="false" outlineLevel="0" collapsed="false">
      <c r="A347" s="51" t="s">
        <v>3238</v>
      </c>
      <c r="B347" s="51" t="n">
        <v>343</v>
      </c>
      <c r="C347" s="52" t="s">
        <v>3239</v>
      </c>
      <c r="D347" s="53" t="s">
        <v>3240</v>
      </c>
      <c r="E347" s="54" t="s">
        <v>3241</v>
      </c>
      <c r="F347" s="54" t="s">
        <v>2775</v>
      </c>
      <c r="G347" s="54" t="s">
        <v>3242</v>
      </c>
      <c r="H347" s="54" t="s">
        <v>3243</v>
      </c>
      <c r="I347" s="53" t="s">
        <v>3244</v>
      </c>
      <c r="J347" s="54" t="s">
        <v>3245</v>
      </c>
      <c r="K347" s="53" t="s">
        <v>3246</v>
      </c>
      <c r="L347" s="60" t="s">
        <v>9</v>
      </c>
      <c r="M347" s="68" t="n">
        <v>5</v>
      </c>
      <c r="N347" s="69" t="s">
        <v>3002</v>
      </c>
      <c r="O347" s="59" t="s">
        <v>161</v>
      </c>
      <c r="P347" s="54" t="s">
        <v>3247</v>
      </c>
      <c r="Q347" s="54" t="s">
        <v>516</v>
      </c>
      <c r="R347" s="58" t="s">
        <v>517</v>
      </c>
      <c r="S347" s="54" t="s">
        <v>98</v>
      </c>
    </row>
    <row r="348" customFormat="false" ht="35.05" hidden="false" customHeight="false" outlineLevel="0" collapsed="false">
      <c r="A348" s="51" t="s">
        <v>3248</v>
      </c>
      <c r="B348" s="51" t="n">
        <v>344</v>
      </c>
      <c r="C348" s="52" t="s">
        <v>3249</v>
      </c>
      <c r="D348" s="53" t="s">
        <v>3250</v>
      </c>
      <c r="E348" s="54" t="s">
        <v>3251</v>
      </c>
      <c r="F348" s="54" t="s">
        <v>32</v>
      </c>
      <c r="G348" s="54" t="s">
        <v>3252</v>
      </c>
      <c r="H348" s="54" t="s">
        <v>3253</v>
      </c>
      <c r="I348" s="53" t="s">
        <v>3254</v>
      </c>
      <c r="J348" s="54" t="s">
        <v>3255</v>
      </c>
      <c r="K348" s="53" t="s">
        <v>3256</v>
      </c>
      <c r="L348" s="60" t="s">
        <v>9</v>
      </c>
      <c r="M348" s="68" t="n">
        <v>5</v>
      </c>
      <c r="N348" s="69" t="s">
        <v>3002</v>
      </c>
      <c r="O348" s="51" t="s">
        <v>95</v>
      </c>
      <c r="P348" s="54"/>
      <c r="Q348" s="54" t="s">
        <v>131</v>
      </c>
      <c r="R348" s="58" t="s">
        <v>132</v>
      </c>
      <c r="S348" s="54" t="s">
        <v>98</v>
      </c>
    </row>
    <row r="349" customFormat="false" ht="35.05" hidden="false" customHeight="false" outlineLevel="0" collapsed="false">
      <c r="A349" s="51" t="s">
        <v>3257</v>
      </c>
      <c r="B349" s="51" t="n">
        <v>345</v>
      </c>
      <c r="C349" s="52" t="s">
        <v>3258</v>
      </c>
      <c r="D349" s="53" t="s">
        <v>3259</v>
      </c>
      <c r="E349" s="54" t="s">
        <v>3260</v>
      </c>
      <c r="F349" s="54" t="s">
        <v>32</v>
      </c>
      <c r="G349" s="54" t="s">
        <v>3261</v>
      </c>
      <c r="H349" s="54" t="s">
        <v>3262</v>
      </c>
      <c r="I349" s="53" t="s">
        <v>3263</v>
      </c>
      <c r="J349" s="54" t="s">
        <v>3264</v>
      </c>
      <c r="K349" s="53" t="s">
        <v>3265</v>
      </c>
      <c r="L349" s="60" t="s">
        <v>9</v>
      </c>
      <c r="M349" s="68" t="n">
        <v>5</v>
      </c>
      <c r="N349" s="69" t="s">
        <v>3002</v>
      </c>
      <c r="O349" s="51" t="s">
        <v>95</v>
      </c>
      <c r="P349" s="54"/>
      <c r="Q349" s="54" t="s">
        <v>131</v>
      </c>
      <c r="R349" s="58" t="s">
        <v>132</v>
      </c>
      <c r="S349" s="54" t="s">
        <v>98</v>
      </c>
    </row>
    <row r="350" customFormat="false" ht="46.25" hidden="false" customHeight="false" outlineLevel="0" collapsed="false">
      <c r="A350" s="51" t="s">
        <v>3266</v>
      </c>
      <c r="B350" s="51" t="n">
        <v>346</v>
      </c>
      <c r="C350" s="52" t="s">
        <v>3267</v>
      </c>
      <c r="D350" s="53" t="s">
        <v>3268</v>
      </c>
      <c r="E350" s="54" t="s">
        <v>3269</v>
      </c>
      <c r="F350" s="54" t="s">
        <v>125</v>
      </c>
      <c r="G350" s="54" t="s">
        <v>3270</v>
      </c>
      <c r="H350" s="54" t="s">
        <v>3271</v>
      </c>
      <c r="I350" s="53" t="s">
        <v>3272</v>
      </c>
      <c r="J350" s="54" t="s">
        <v>3273</v>
      </c>
      <c r="K350" s="53" t="s">
        <v>3274</v>
      </c>
      <c r="L350" s="60" t="s">
        <v>9</v>
      </c>
      <c r="M350" s="68" t="n">
        <v>5</v>
      </c>
      <c r="N350" s="69" t="s">
        <v>3002</v>
      </c>
      <c r="O350" s="51" t="s">
        <v>95</v>
      </c>
      <c r="P350" s="54"/>
      <c r="Q350" s="54" t="s">
        <v>621</v>
      </c>
      <c r="R350" s="58" t="s">
        <v>622</v>
      </c>
      <c r="S350" s="54" t="s">
        <v>98</v>
      </c>
    </row>
    <row r="351" customFormat="false" ht="35.05" hidden="false" customHeight="false" outlineLevel="0" collapsed="false">
      <c r="A351" s="51" t="s">
        <v>3275</v>
      </c>
      <c r="B351" s="51" t="n">
        <v>347</v>
      </c>
      <c r="C351" s="52" t="s">
        <v>3276</v>
      </c>
      <c r="D351" s="53" t="s">
        <v>3277</v>
      </c>
      <c r="E351" s="54" t="s">
        <v>3278</v>
      </c>
      <c r="F351" s="54" t="s">
        <v>115</v>
      </c>
      <c r="G351" s="54" t="s">
        <v>3279</v>
      </c>
      <c r="H351" s="54" t="s">
        <v>3280</v>
      </c>
      <c r="I351" s="53" t="s">
        <v>3281</v>
      </c>
      <c r="J351" s="54" t="s">
        <v>3282</v>
      </c>
      <c r="K351" s="53" t="s">
        <v>3283</v>
      </c>
      <c r="L351" s="60" t="s">
        <v>9</v>
      </c>
      <c r="M351" s="68" t="n">
        <v>5</v>
      </c>
      <c r="N351" s="69" t="s">
        <v>3002</v>
      </c>
      <c r="O351" s="51" t="s">
        <v>95</v>
      </c>
      <c r="P351" s="54"/>
      <c r="Q351" s="54" t="s">
        <v>131</v>
      </c>
      <c r="R351" s="58" t="s">
        <v>132</v>
      </c>
      <c r="S351" s="54" t="s">
        <v>98</v>
      </c>
    </row>
    <row r="352" customFormat="false" ht="35.05" hidden="false" customHeight="false" outlineLevel="0" collapsed="false">
      <c r="A352" s="51" t="s">
        <v>3284</v>
      </c>
      <c r="B352" s="51" t="n">
        <v>348</v>
      </c>
      <c r="C352" s="52" t="s">
        <v>3285</v>
      </c>
      <c r="D352" s="53" t="s">
        <v>3286</v>
      </c>
      <c r="E352" s="54" t="s">
        <v>3287</v>
      </c>
      <c r="F352" s="54" t="s">
        <v>32</v>
      </c>
      <c r="G352" s="54" t="s">
        <v>3288</v>
      </c>
      <c r="H352" s="54" t="s">
        <v>3289</v>
      </c>
      <c r="I352" s="53" t="s">
        <v>3290</v>
      </c>
      <c r="J352" s="54" t="s">
        <v>3291</v>
      </c>
      <c r="K352" s="53" t="s">
        <v>3292</v>
      </c>
      <c r="L352" s="60" t="s">
        <v>9</v>
      </c>
      <c r="M352" s="68" t="n">
        <v>5</v>
      </c>
      <c r="N352" s="69" t="s">
        <v>3002</v>
      </c>
      <c r="O352" s="51" t="s">
        <v>95</v>
      </c>
      <c r="P352" s="54"/>
      <c r="Q352" s="54" t="s">
        <v>131</v>
      </c>
      <c r="R352" s="58" t="s">
        <v>132</v>
      </c>
      <c r="S352" s="54" t="s">
        <v>98</v>
      </c>
    </row>
    <row r="353" customFormat="false" ht="35.05" hidden="false" customHeight="false" outlineLevel="0" collapsed="false">
      <c r="A353" s="51" t="s">
        <v>3293</v>
      </c>
      <c r="B353" s="51" t="n">
        <v>349</v>
      </c>
      <c r="C353" s="52" t="s">
        <v>3294</v>
      </c>
      <c r="D353" s="53" t="s">
        <v>3295</v>
      </c>
      <c r="E353" s="54" t="s">
        <v>3296</v>
      </c>
      <c r="F353" s="54" t="s">
        <v>32</v>
      </c>
      <c r="G353" s="54" t="s">
        <v>3297</v>
      </c>
      <c r="H353" s="54" t="s">
        <v>3298</v>
      </c>
      <c r="I353" s="53" t="s">
        <v>3299</v>
      </c>
      <c r="J353" s="54" t="s">
        <v>3300</v>
      </c>
      <c r="K353" s="53" t="s">
        <v>3301</v>
      </c>
      <c r="L353" s="60" t="s">
        <v>9</v>
      </c>
      <c r="M353" s="68" t="n">
        <v>5</v>
      </c>
      <c r="N353" s="69" t="s">
        <v>3002</v>
      </c>
      <c r="O353" s="51" t="s">
        <v>95</v>
      </c>
      <c r="P353" s="54"/>
      <c r="Q353" s="54" t="s">
        <v>131</v>
      </c>
      <c r="R353" s="58" t="s">
        <v>132</v>
      </c>
      <c r="S353" s="54" t="s">
        <v>98</v>
      </c>
    </row>
    <row r="354" customFormat="false" ht="35.05" hidden="false" customHeight="false" outlineLevel="0" collapsed="false">
      <c r="A354" s="51" t="s">
        <v>3302</v>
      </c>
      <c r="B354" s="51" t="n">
        <v>350</v>
      </c>
      <c r="C354" s="52" t="s">
        <v>3303</v>
      </c>
      <c r="D354" s="53" t="s">
        <v>3304</v>
      </c>
      <c r="E354" s="54" t="s">
        <v>3305</v>
      </c>
      <c r="F354" s="54" t="s">
        <v>32</v>
      </c>
      <c r="G354" s="54" t="s">
        <v>3306</v>
      </c>
      <c r="H354" s="54" t="s">
        <v>3307</v>
      </c>
      <c r="I354" s="53" t="s">
        <v>3308</v>
      </c>
      <c r="J354" s="54" t="s">
        <v>3309</v>
      </c>
      <c r="K354" s="53" t="s">
        <v>3310</v>
      </c>
      <c r="L354" s="60" t="s">
        <v>9</v>
      </c>
      <c r="M354" s="68" t="n">
        <v>5</v>
      </c>
      <c r="N354" s="69" t="s">
        <v>3002</v>
      </c>
      <c r="O354" s="51" t="s">
        <v>95</v>
      </c>
      <c r="P354" s="54"/>
      <c r="Q354" s="54" t="s">
        <v>131</v>
      </c>
      <c r="R354" s="58" t="s">
        <v>132</v>
      </c>
      <c r="S354" s="54" t="s">
        <v>98</v>
      </c>
    </row>
    <row r="355" customFormat="false" ht="35.05" hidden="false" customHeight="false" outlineLevel="0" collapsed="false">
      <c r="A355" s="51" t="s">
        <v>3311</v>
      </c>
      <c r="B355" s="51" t="n">
        <v>351</v>
      </c>
      <c r="C355" s="52" t="s">
        <v>3312</v>
      </c>
      <c r="D355" s="53" t="s">
        <v>3313</v>
      </c>
      <c r="E355" s="54" t="s">
        <v>3314</v>
      </c>
      <c r="F355" s="54" t="s">
        <v>32</v>
      </c>
      <c r="G355" s="54" t="s">
        <v>3315</v>
      </c>
      <c r="H355" s="54" t="s">
        <v>3316</v>
      </c>
      <c r="I355" s="53" t="s">
        <v>3317</v>
      </c>
      <c r="J355" s="54" t="s">
        <v>3318</v>
      </c>
      <c r="K355" s="53" t="s">
        <v>3319</v>
      </c>
      <c r="L355" s="60" t="s">
        <v>9</v>
      </c>
      <c r="M355" s="68" t="n">
        <v>5</v>
      </c>
      <c r="N355" s="69" t="s">
        <v>3002</v>
      </c>
      <c r="O355" s="51" t="s">
        <v>95</v>
      </c>
      <c r="P355" s="54"/>
      <c r="Q355" s="54" t="s">
        <v>131</v>
      </c>
      <c r="R355" s="58" t="s">
        <v>132</v>
      </c>
      <c r="S355" s="54" t="s">
        <v>98</v>
      </c>
    </row>
    <row r="356" customFormat="false" ht="35.05" hidden="false" customHeight="false" outlineLevel="0" collapsed="false">
      <c r="A356" s="51" t="s">
        <v>3320</v>
      </c>
      <c r="B356" s="51" t="n">
        <v>352</v>
      </c>
      <c r="C356" s="52" t="s">
        <v>3321</v>
      </c>
      <c r="D356" s="53" t="s">
        <v>3322</v>
      </c>
      <c r="E356" s="54" t="s">
        <v>3323</v>
      </c>
      <c r="F356" s="54" t="s">
        <v>115</v>
      </c>
      <c r="G356" s="54" t="s">
        <v>3324</v>
      </c>
      <c r="H356" s="54" t="s">
        <v>3325</v>
      </c>
      <c r="I356" s="53" t="s">
        <v>3326</v>
      </c>
      <c r="J356" s="54" t="s">
        <v>3327</v>
      </c>
      <c r="K356" s="53" t="s">
        <v>3328</v>
      </c>
      <c r="L356" s="60" t="s">
        <v>9</v>
      </c>
      <c r="M356" s="68" t="n">
        <v>5</v>
      </c>
      <c r="N356" s="69" t="s">
        <v>3002</v>
      </c>
      <c r="O356" s="51" t="s">
        <v>95</v>
      </c>
      <c r="P356" s="54"/>
      <c r="Q356" s="54" t="s">
        <v>131</v>
      </c>
      <c r="R356" s="58" t="s">
        <v>132</v>
      </c>
      <c r="S356" s="54" t="s">
        <v>98</v>
      </c>
    </row>
    <row r="357" customFormat="false" ht="35.05" hidden="false" customHeight="false" outlineLevel="0" collapsed="false">
      <c r="A357" s="51" t="s">
        <v>3329</v>
      </c>
      <c r="B357" s="51" t="n">
        <v>353</v>
      </c>
      <c r="C357" s="52" t="s">
        <v>3330</v>
      </c>
      <c r="D357" s="53" t="s">
        <v>3331</v>
      </c>
      <c r="E357" s="54" t="s">
        <v>3332</v>
      </c>
      <c r="F357" s="54" t="s">
        <v>32</v>
      </c>
      <c r="G357" s="54" t="s">
        <v>3333</v>
      </c>
      <c r="H357" s="54" t="s">
        <v>3334</v>
      </c>
      <c r="I357" s="53" t="s">
        <v>3335</v>
      </c>
      <c r="J357" s="54" t="s">
        <v>3336</v>
      </c>
      <c r="K357" s="53" t="s">
        <v>3337</v>
      </c>
      <c r="L357" s="60" t="s">
        <v>9</v>
      </c>
      <c r="M357" s="68" t="n">
        <v>5</v>
      </c>
      <c r="N357" s="69" t="s">
        <v>3002</v>
      </c>
      <c r="O357" s="51" t="s">
        <v>95</v>
      </c>
      <c r="P357" s="54"/>
      <c r="Q357" s="54" t="s">
        <v>131</v>
      </c>
      <c r="R357" s="58" t="s">
        <v>132</v>
      </c>
      <c r="S357" s="54" t="s">
        <v>98</v>
      </c>
    </row>
    <row r="358" customFormat="false" ht="35.05" hidden="false" customHeight="false" outlineLevel="0" collapsed="false">
      <c r="A358" s="51" t="s">
        <v>3338</v>
      </c>
      <c r="B358" s="51" t="n">
        <v>354</v>
      </c>
      <c r="C358" s="52" t="s">
        <v>3339</v>
      </c>
      <c r="D358" s="53" t="s">
        <v>3340</v>
      </c>
      <c r="E358" s="54" t="s">
        <v>3341</v>
      </c>
      <c r="F358" s="54" t="s">
        <v>32</v>
      </c>
      <c r="G358" s="54" t="s">
        <v>3342</v>
      </c>
      <c r="H358" s="54" t="s">
        <v>3343</v>
      </c>
      <c r="I358" s="53" t="s">
        <v>3344</v>
      </c>
      <c r="J358" s="54" t="s">
        <v>3345</v>
      </c>
      <c r="K358" s="53" t="s">
        <v>3346</v>
      </c>
      <c r="L358" s="60" t="s">
        <v>9</v>
      </c>
      <c r="M358" s="68" t="n">
        <v>5</v>
      </c>
      <c r="N358" s="69" t="s">
        <v>3002</v>
      </c>
      <c r="O358" s="51" t="s">
        <v>95</v>
      </c>
      <c r="P358" s="54"/>
      <c r="Q358" s="54" t="s">
        <v>131</v>
      </c>
      <c r="R358" s="58" t="s">
        <v>132</v>
      </c>
      <c r="S358" s="54" t="s">
        <v>98</v>
      </c>
    </row>
    <row r="359" customFormat="false" ht="35.05" hidden="false" customHeight="false" outlineLevel="0" collapsed="false">
      <c r="A359" s="51" t="s">
        <v>3347</v>
      </c>
      <c r="B359" s="51" t="n">
        <v>355</v>
      </c>
      <c r="C359" s="52" t="s">
        <v>3348</v>
      </c>
      <c r="D359" s="53" t="s">
        <v>3349</v>
      </c>
      <c r="E359" s="54" t="s">
        <v>3350</v>
      </c>
      <c r="F359" s="54" t="s">
        <v>261</v>
      </c>
      <c r="G359" s="54" t="s">
        <v>3351</v>
      </c>
      <c r="H359" s="54" t="s">
        <v>3352</v>
      </c>
      <c r="I359" s="53" t="s">
        <v>3353</v>
      </c>
      <c r="J359" s="54" t="s">
        <v>3354</v>
      </c>
      <c r="K359" s="53" t="s">
        <v>3355</v>
      </c>
      <c r="L359" s="60" t="s">
        <v>9</v>
      </c>
      <c r="M359" s="68" t="n">
        <v>5</v>
      </c>
      <c r="N359" s="69" t="s">
        <v>3002</v>
      </c>
      <c r="O359" s="51" t="s">
        <v>95</v>
      </c>
      <c r="P359" s="54"/>
      <c r="Q359" s="54" t="s">
        <v>131</v>
      </c>
      <c r="R359" s="58" t="s">
        <v>132</v>
      </c>
      <c r="S359" s="54" t="s">
        <v>98</v>
      </c>
    </row>
    <row r="360" customFormat="false" ht="35.05" hidden="false" customHeight="false" outlineLevel="0" collapsed="false">
      <c r="A360" s="51" t="s">
        <v>3356</v>
      </c>
      <c r="B360" s="51" t="n">
        <v>356</v>
      </c>
      <c r="C360" s="52" t="s">
        <v>3357</v>
      </c>
      <c r="D360" s="53" t="s">
        <v>3358</v>
      </c>
      <c r="E360" s="54" t="s">
        <v>3359</v>
      </c>
      <c r="F360" s="54" t="s">
        <v>261</v>
      </c>
      <c r="G360" s="54" t="s">
        <v>3360</v>
      </c>
      <c r="H360" s="54" t="s">
        <v>3361</v>
      </c>
      <c r="I360" s="53" t="s">
        <v>3362</v>
      </c>
      <c r="J360" s="54" t="s">
        <v>3363</v>
      </c>
      <c r="K360" s="53" t="s">
        <v>3364</v>
      </c>
      <c r="L360" s="60" t="s">
        <v>9</v>
      </c>
      <c r="M360" s="68" t="n">
        <v>5</v>
      </c>
      <c r="N360" s="69" t="s">
        <v>3002</v>
      </c>
      <c r="O360" s="59" t="s">
        <v>161</v>
      </c>
      <c r="P360" s="54" t="s">
        <v>1507</v>
      </c>
      <c r="Q360" s="54" t="s">
        <v>131</v>
      </c>
      <c r="R360" s="58" t="s">
        <v>132</v>
      </c>
      <c r="S360" s="54" t="s">
        <v>98</v>
      </c>
    </row>
    <row r="361" customFormat="false" ht="35.05" hidden="false" customHeight="false" outlineLevel="0" collapsed="false">
      <c r="A361" s="51" t="s">
        <v>3365</v>
      </c>
      <c r="B361" s="51" t="n">
        <v>357</v>
      </c>
      <c r="C361" s="52" t="s">
        <v>3366</v>
      </c>
      <c r="D361" s="53" t="s">
        <v>3367</v>
      </c>
      <c r="E361" s="54" t="s">
        <v>3368</v>
      </c>
      <c r="F361" s="54" t="s">
        <v>3132</v>
      </c>
      <c r="G361" s="54" t="s">
        <v>3369</v>
      </c>
      <c r="H361" s="54" t="s">
        <v>3370</v>
      </c>
      <c r="I361" s="53" t="s">
        <v>3371</v>
      </c>
      <c r="J361" s="54" t="s">
        <v>3372</v>
      </c>
      <c r="K361" s="53" t="s">
        <v>3373</v>
      </c>
      <c r="L361" s="60" t="s">
        <v>9</v>
      </c>
      <c r="M361" s="68" t="n">
        <v>5</v>
      </c>
      <c r="N361" s="69" t="s">
        <v>3002</v>
      </c>
      <c r="O361" s="51" t="s">
        <v>95</v>
      </c>
      <c r="P361" s="54"/>
      <c r="Q361" s="54" t="s">
        <v>131</v>
      </c>
      <c r="R361" s="58" t="s">
        <v>132</v>
      </c>
      <c r="S361" s="54" t="s">
        <v>98</v>
      </c>
    </row>
    <row r="362" customFormat="false" ht="35.05" hidden="false" customHeight="false" outlineLevel="0" collapsed="false">
      <c r="A362" s="51" t="s">
        <v>3374</v>
      </c>
      <c r="B362" s="51" t="n">
        <v>358</v>
      </c>
      <c r="C362" s="52" t="s">
        <v>3375</v>
      </c>
      <c r="D362" s="53" t="s">
        <v>3376</v>
      </c>
      <c r="E362" s="54" t="s">
        <v>3377</v>
      </c>
      <c r="F362" s="54" t="s">
        <v>32</v>
      </c>
      <c r="G362" s="54" t="s">
        <v>3378</v>
      </c>
      <c r="H362" s="54" t="s">
        <v>3379</v>
      </c>
      <c r="I362" s="53" t="s">
        <v>3380</v>
      </c>
      <c r="J362" s="54" t="s">
        <v>3381</v>
      </c>
      <c r="K362" s="53" t="s">
        <v>3382</v>
      </c>
      <c r="L362" s="60" t="s">
        <v>9</v>
      </c>
      <c r="M362" s="68" t="n">
        <v>5</v>
      </c>
      <c r="N362" s="69" t="s">
        <v>3002</v>
      </c>
      <c r="O362" s="51" t="s">
        <v>95</v>
      </c>
      <c r="P362" s="54"/>
      <c r="Q362" s="54" t="s">
        <v>131</v>
      </c>
      <c r="R362" s="58" t="s">
        <v>132</v>
      </c>
      <c r="S362" s="54" t="s">
        <v>98</v>
      </c>
    </row>
    <row r="363" customFormat="false" ht="35.05" hidden="false" customHeight="false" outlineLevel="0" collapsed="false">
      <c r="A363" s="51" t="s">
        <v>3383</v>
      </c>
      <c r="B363" s="51" t="n">
        <v>359</v>
      </c>
      <c r="C363" s="52" t="s">
        <v>3384</v>
      </c>
      <c r="D363" s="53" t="s">
        <v>3385</v>
      </c>
      <c r="E363" s="54" t="s">
        <v>3386</v>
      </c>
      <c r="F363" s="54" t="s">
        <v>3132</v>
      </c>
      <c r="G363" s="54" t="s">
        <v>3387</v>
      </c>
      <c r="H363" s="54" t="s">
        <v>3388</v>
      </c>
      <c r="I363" s="53" t="s">
        <v>3389</v>
      </c>
      <c r="J363" s="54" t="s">
        <v>3390</v>
      </c>
      <c r="K363" s="53" t="s">
        <v>3391</v>
      </c>
      <c r="L363" s="60" t="s">
        <v>9</v>
      </c>
      <c r="M363" s="68" t="n">
        <v>5</v>
      </c>
      <c r="N363" s="69" t="s">
        <v>3002</v>
      </c>
      <c r="O363" s="51" t="s">
        <v>95</v>
      </c>
      <c r="P363" s="54"/>
      <c r="Q363" s="54" t="s">
        <v>131</v>
      </c>
      <c r="R363" s="58" t="s">
        <v>132</v>
      </c>
      <c r="S363" s="54" t="s">
        <v>98</v>
      </c>
    </row>
    <row r="364" customFormat="false" ht="35.05" hidden="false" customHeight="false" outlineLevel="0" collapsed="false">
      <c r="A364" s="51" t="s">
        <v>3392</v>
      </c>
      <c r="B364" s="51" t="n">
        <v>360</v>
      </c>
      <c r="C364" s="52" t="s">
        <v>3393</v>
      </c>
      <c r="D364" s="53" t="s">
        <v>3394</v>
      </c>
      <c r="E364" s="54" t="s">
        <v>3395</v>
      </c>
      <c r="F364" s="54" t="s">
        <v>2029</v>
      </c>
      <c r="G364" s="54" t="s">
        <v>3396</v>
      </c>
      <c r="H364" s="54" t="s">
        <v>3397</v>
      </c>
      <c r="I364" s="53" t="s">
        <v>3398</v>
      </c>
      <c r="J364" s="54" t="s">
        <v>3399</v>
      </c>
      <c r="K364" s="53" t="s">
        <v>3400</v>
      </c>
      <c r="L364" s="60" t="s">
        <v>9</v>
      </c>
      <c r="M364" s="68" t="n">
        <v>5</v>
      </c>
      <c r="N364" s="69" t="s">
        <v>3002</v>
      </c>
      <c r="O364" s="51" t="s">
        <v>95</v>
      </c>
      <c r="P364" s="54"/>
      <c r="Q364" s="54" t="s">
        <v>516</v>
      </c>
      <c r="R364" s="58" t="s">
        <v>517</v>
      </c>
      <c r="S364" s="54" t="s">
        <v>98</v>
      </c>
    </row>
    <row r="365" customFormat="false" ht="35.05" hidden="false" customHeight="false" outlineLevel="0" collapsed="false">
      <c r="A365" s="51" t="s">
        <v>3401</v>
      </c>
      <c r="B365" s="51" t="n">
        <v>361</v>
      </c>
      <c r="C365" s="52" t="s">
        <v>3402</v>
      </c>
      <c r="D365" s="53" t="s">
        <v>3403</v>
      </c>
      <c r="E365" s="54" t="s">
        <v>3404</v>
      </c>
      <c r="F365" s="54" t="s">
        <v>548</v>
      </c>
      <c r="G365" s="54" t="s">
        <v>3405</v>
      </c>
      <c r="H365" s="54" t="s">
        <v>3406</v>
      </c>
      <c r="I365" s="53" t="s">
        <v>3407</v>
      </c>
      <c r="J365" s="54" t="s">
        <v>3408</v>
      </c>
      <c r="K365" s="53" t="s">
        <v>3409</v>
      </c>
      <c r="L365" s="60" t="s">
        <v>9</v>
      </c>
      <c r="M365" s="68" t="n">
        <v>5</v>
      </c>
      <c r="N365" s="69" t="s">
        <v>3002</v>
      </c>
      <c r="O365" s="51" t="s">
        <v>95</v>
      </c>
      <c r="P365" s="54"/>
      <c r="Q365" s="54" t="s">
        <v>131</v>
      </c>
      <c r="R365" s="58" t="s">
        <v>132</v>
      </c>
      <c r="S365" s="54" t="s">
        <v>98</v>
      </c>
    </row>
    <row r="366" customFormat="false" ht="35.05" hidden="false" customHeight="false" outlineLevel="0" collapsed="false">
      <c r="A366" s="51" t="s">
        <v>3410</v>
      </c>
      <c r="B366" s="51" t="n">
        <v>362</v>
      </c>
      <c r="C366" s="52" t="s">
        <v>3411</v>
      </c>
      <c r="D366" s="53" t="s">
        <v>3412</v>
      </c>
      <c r="E366" s="54" t="s">
        <v>3413</v>
      </c>
      <c r="F366" s="54" t="s">
        <v>32</v>
      </c>
      <c r="G366" s="54" t="s">
        <v>3414</v>
      </c>
      <c r="H366" s="54" t="s">
        <v>3415</v>
      </c>
      <c r="I366" s="53" t="s">
        <v>3416</v>
      </c>
      <c r="J366" s="54" t="s">
        <v>3417</v>
      </c>
      <c r="K366" s="53" t="s">
        <v>3418</v>
      </c>
      <c r="L366" s="61" t="s">
        <v>10</v>
      </c>
      <c r="M366" s="68" t="n">
        <v>5</v>
      </c>
      <c r="N366" s="69" t="s">
        <v>3002</v>
      </c>
      <c r="O366" s="51" t="s">
        <v>95</v>
      </c>
      <c r="P366" s="54"/>
      <c r="Q366" s="54" t="s">
        <v>131</v>
      </c>
      <c r="R366" s="58" t="s">
        <v>132</v>
      </c>
      <c r="S366" s="54" t="s">
        <v>98</v>
      </c>
    </row>
    <row r="367" customFormat="false" ht="35.05" hidden="false" customHeight="false" outlineLevel="0" collapsed="false">
      <c r="A367" s="51" t="s">
        <v>3419</v>
      </c>
      <c r="B367" s="51" t="n">
        <v>363</v>
      </c>
      <c r="C367" s="52" t="s">
        <v>3420</v>
      </c>
      <c r="D367" s="53" t="s">
        <v>3421</v>
      </c>
      <c r="E367" s="54" t="s">
        <v>3422</v>
      </c>
      <c r="F367" s="54" t="s">
        <v>32</v>
      </c>
      <c r="G367" s="54" t="s">
        <v>3423</v>
      </c>
      <c r="H367" s="54" t="s">
        <v>3424</v>
      </c>
      <c r="I367" s="53" t="s">
        <v>3425</v>
      </c>
      <c r="J367" s="54" t="s">
        <v>3426</v>
      </c>
      <c r="K367" s="53" t="s">
        <v>3427</v>
      </c>
      <c r="L367" s="61" t="s">
        <v>10</v>
      </c>
      <c r="M367" s="68" t="n">
        <v>5</v>
      </c>
      <c r="N367" s="69" t="s">
        <v>3002</v>
      </c>
      <c r="O367" s="51" t="s">
        <v>95</v>
      </c>
      <c r="P367" s="54"/>
      <c r="Q367" s="54" t="s">
        <v>131</v>
      </c>
      <c r="R367" s="58" t="s">
        <v>132</v>
      </c>
      <c r="S367" s="54" t="s">
        <v>98</v>
      </c>
    </row>
    <row r="368" customFormat="false" ht="35.05" hidden="false" customHeight="false" outlineLevel="0" collapsed="false">
      <c r="A368" s="51" t="s">
        <v>3428</v>
      </c>
      <c r="B368" s="51" t="n">
        <v>364</v>
      </c>
      <c r="C368" s="52" t="s">
        <v>3429</v>
      </c>
      <c r="D368" s="53" t="s">
        <v>3430</v>
      </c>
      <c r="E368" s="54" t="s">
        <v>3431</v>
      </c>
      <c r="F368" s="54" t="s">
        <v>32</v>
      </c>
      <c r="G368" s="54" t="s">
        <v>3432</v>
      </c>
      <c r="H368" s="54" t="s">
        <v>3433</v>
      </c>
      <c r="I368" s="53" t="s">
        <v>3434</v>
      </c>
      <c r="J368" s="54" t="s">
        <v>3435</v>
      </c>
      <c r="K368" s="53" t="s">
        <v>3436</v>
      </c>
      <c r="L368" s="61" t="s">
        <v>10</v>
      </c>
      <c r="M368" s="68" t="n">
        <v>5</v>
      </c>
      <c r="N368" s="69" t="s">
        <v>3002</v>
      </c>
      <c r="O368" s="51" t="s">
        <v>95</v>
      </c>
      <c r="P368" s="54"/>
      <c r="Q368" s="54" t="s">
        <v>131</v>
      </c>
      <c r="R368" s="58" t="s">
        <v>132</v>
      </c>
      <c r="S368" s="54" t="s">
        <v>98</v>
      </c>
    </row>
    <row r="369" customFormat="false" ht="35.05" hidden="false" customHeight="false" outlineLevel="0" collapsed="false">
      <c r="A369" s="51" t="s">
        <v>3437</v>
      </c>
      <c r="B369" s="51" t="n">
        <v>365</v>
      </c>
      <c r="C369" s="52" t="s">
        <v>3438</v>
      </c>
      <c r="D369" s="53" t="s">
        <v>3439</v>
      </c>
      <c r="E369" s="54" t="s">
        <v>3440</v>
      </c>
      <c r="F369" s="54" t="s">
        <v>261</v>
      </c>
      <c r="G369" s="54" t="s">
        <v>3441</v>
      </c>
      <c r="H369" s="54" t="s">
        <v>3442</v>
      </c>
      <c r="I369" s="53" t="s">
        <v>3443</v>
      </c>
      <c r="J369" s="54" t="s">
        <v>3444</v>
      </c>
      <c r="K369" s="53" t="s">
        <v>3445</v>
      </c>
      <c r="L369" s="61" t="s">
        <v>10</v>
      </c>
      <c r="M369" s="68" t="n">
        <v>5</v>
      </c>
      <c r="N369" s="69" t="s">
        <v>3002</v>
      </c>
      <c r="O369" s="51" t="s">
        <v>95</v>
      </c>
      <c r="P369" s="54"/>
      <c r="Q369" s="54" t="s">
        <v>131</v>
      </c>
      <c r="R369" s="58" t="s">
        <v>132</v>
      </c>
      <c r="S369" s="54" t="s">
        <v>98</v>
      </c>
    </row>
    <row r="370" customFormat="false" ht="35.05" hidden="false" customHeight="false" outlineLevel="0" collapsed="false">
      <c r="A370" s="51" t="s">
        <v>3446</v>
      </c>
      <c r="B370" s="51" t="n">
        <v>366</v>
      </c>
      <c r="C370" s="52" t="s">
        <v>3447</v>
      </c>
      <c r="D370" s="53" t="s">
        <v>3448</v>
      </c>
      <c r="E370" s="54" t="s">
        <v>3449</v>
      </c>
      <c r="F370" s="54" t="s">
        <v>261</v>
      </c>
      <c r="G370" s="54" t="s">
        <v>3450</v>
      </c>
      <c r="H370" s="54" t="s">
        <v>3451</v>
      </c>
      <c r="I370" s="53" t="s">
        <v>3452</v>
      </c>
      <c r="J370" s="54" t="s">
        <v>3453</v>
      </c>
      <c r="K370" s="53" t="s">
        <v>3454</v>
      </c>
      <c r="L370" s="61" t="s">
        <v>10</v>
      </c>
      <c r="M370" s="68" t="n">
        <v>5</v>
      </c>
      <c r="N370" s="69" t="s">
        <v>3002</v>
      </c>
      <c r="O370" s="51" t="s">
        <v>95</v>
      </c>
      <c r="P370" s="54"/>
      <c r="Q370" s="54" t="s">
        <v>131</v>
      </c>
      <c r="R370" s="58" t="s">
        <v>132</v>
      </c>
      <c r="S370" s="54" t="s">
        <v>98</v>
      </c>
    </row>
    <row r="371" customFormat="false" ht="35.05" hidden="false" customHeight="false" outlineLevel="0" collapsed="false">
      <c r="A371" s="51" t="s">
        <v>3455</v>
      </c>
      <c r="B371" s="51" t="n">
        <v>367</v>
      </c>
      <c r="C371" s="52" t="s">
        <v>3456</v>
      </c>
      <c r="D371" s="53" t="s">
        <v>3457</v>
      </c>
      <c r="E371" s="54" t="s">
        <v>3458</v>
      </c>
      <c r="F371" s="54" t="s">
        <v>3132</v>
      </c>
      <c r="G371" s="54" t="s">
        <v>3459</v>
      </c>
      <c r="H371" s="54" t="s">
        <v>3460</v>
      </c>
      <c r="I371" s="53" t="s">
        <v>3461</v>
      </c>
      <c r="J371" s="54" t="s">
        <v>3462</v>
      </c>
      <c r="K371" s="53" t="s">
        <v>3463</v>
      </c>
      <c r="L371" s="61" t="s">
        <v>10</v>
      </c>
      <c r="M371" s="68" t="n">
        <v>5</v>
      </c>
      <c r="N371" s="69" t="s">
        <v>3002</v>
      </c>
      <c r="O371" s="51" t="s">
        <v>95</v>
      </c>
      <c r="P371" s="54"/>
      <c r="Q371" s="54" t="s">
        <v>131</v>
      </c>
      <c r="R371" s="58" t="s">
        <v>132</v>
      </c>
      <c r="S371" s="54" t="s">
        <v>98</v>
      </c>
    </row>
    <row r="372" customFormat="false" ht="35.05" hidden="false" customHeight="false" outlineLevel="0" collapsed="false">
      <c r="A372" s="51" t="s">
        <v>3464</v>
      </c>
      <c r="B372" s="51" t="n">
        <v>368</v>
      </c>
      <c r="C372" s="52" t="s">
        <v>3465</v>
      </c>
      <c r="D372" s="53" t="s">
        <v>3466</v>
      </c>
      <c r="E372" s="54" t="s">
        <v>3467</v>
      </c>
      <c r="F372" s="54" t="s">
        <v>103</v>
      </c>
      <c r="G372" s="54" t="s">
        <v>3468</v>
      </c>
      <c r="H372" s="54" t="s">
        <v>3469</v>
      </c>
      <c r="I372" s="53" t="s">
        <v>3470</v>
      </c>
      <c r="J372" s="54" t="s">
        <v>3471</v>
      </c>
      <c r="K372" s="53" t="s">
        <v>3472</v>
      </c>
      <c r="L372" s="55" t="s">
        <v>8</v>
      </c>
      <c r="M372" s="70" t="n">
        <v>6</v>
      </c>
      <c r="N372" s="71" t="s">
        <v>3473</v>
      </c>
      <c r="O372" s="51" t="s">
        <v>95</v>
      </c>
      <c r="P372" s="54"/>
      <c r="Q372" s="54" t="s">
        <v>131</v>
      </c>
      <c r="R372" s="58" t="s">
        <v>132</v>
      </c>
      <c r="S372" s="54" t="s">
        <v>98</v>
      </c>
    </row>
    <row r="373" customFormat="false" ht="35.05" hidden="false" customHeight="false" outlineLevel="0" collapsed="false">
      <c r="A373" s="51" t="s">
        <v>3474</v>
      </c>
      <c r="B373" s="51" t="n">
        <v>369</v>
      </c>
      <c r="C373" s="52" t="s">
        <v>3475</v>
      </c>
      <c r="D373" s="53" t="s">
        <v>3476</v>
      </c>
      <c r="E373" s="54" t="s">
        <v>3477</v>
      </c>
      <c r="F373" s="54" t="s">
        <v>3034</v>
      </c>
      <c r="G373" s="54" t="s">
        <v>3478</v>
      </c>
      <c r="H373" s="54" t="s">
        <v>3479</v>
      </c>
      <c r="I373" s="53" t="s">
        <v>3480</v>
      </c>
      <c r="J373" s="54" t="s">
        <v>3481</v>
      </c>
      <c r="K373" s="53" t="s">
        <v>3482</v>
      </c>
      <c r="L373" s="55" t="s">
        <v>8</v>
      </c>
      <c r="M373" s="70" t="n">
        <v>6</v>
      </c>
      <c r="N373" s="71" t="s">
        <v>3473</v>
      </c>
      <c r="O373" s="51" t="s">
        <v>95</v>
      </c>
      <c r="P373" s="54"/>
      <c r="Q373" s="54" t="s">
        <v>131</v>
      </c>
      <c r="R373" s="58" t="s">
        <v>132</v>
      </c>
      <c r="S373" s="54" t="s">
        <v>98</v>
      </c>
    </row>
    <row r="374" customFormat="false" ht="35.05" hidden="false" customHeight="false" outlineLevel="0" collapsed="false">
      <c r="A374" s="51" t="s">
        <v>3483</v>
      </c>
      <c r="B374" s="51" t="n">
        <v>370</v>
      </c>
      <c r="C374" s="52" t="s">
        <v>3484</v>
      </c>
      <c r="D374" s="53" t="s">
        <v>3485</v>
      </c>
      <c r="E374" s="54" t="s">
        <v>3486</v>
      </c>
      <c r="F374" s="54" t="s">
        <v>3487</v>
      </c>
      <c r="G374" s="54" t="s">
        <v>3488</v>
      </c>
      <c r="H374" s="54" t="s">
        <v>3489</v>
      </c>
      <c r="I374" s="53" t="s">
        <v>3490</v>
      </c>
      <c r="J374" s="54" t="s">
        <v>3491</v>
      </c>
      <c r="K374" s="53" t="s">
        <v>3492</v>
      </c>
      <c r="L374" s="55" t="s">
        <v>8</v>
      </c>
      <c r="M374" s="70" t="n">
        <v>6</v>
      </c>
      <c r="N374" s="71" t="s">
        <v>3473</v>
      </c>
      <c r="O374" s="51" t="s">
        <v>95</v>
      </c>
      <c r="P374" s="54"/>
      <c r="Q374" s="54" t="s">
        <v>131</v>
      </c>
      <c r="R374" s="58" t="s">
        <v>132</v>
      </c>
      <c r="S374" s="54" t="s">
        <v>98</v>
      </c>
    </row>
    <row r="375" customFormat="false" ht="35.05" hidden="false" customHeight="false" outlineLevel="0" collapsed="false">
      <c r="A375" s="51" t="s">
        <v>3493</v>
      </c>
      <c r="B375" s="51" t="n">
        <v>371</v>
      </c>
      <c r="C375" s="52" t="s">
        <v>3494</v>
      </c>
      <c r="D375" s="53" t="s">
        <v>3495</v>
      </c>
      <c r="E375" s="54" t="s">
        <v>3496</v>
      </c>
      <c r="F375" s="54" t="s">
        <v>3487</v>
      </c>
      <c r="G375" s="54" t="s">
        <v>3497</v>
      </c>
      <c r="H375" s="54" t="s">
        <v>3498</v>
      </c>
      <c r="I375" s="53" t="s">
        <v>3499</v>
      </c>
      <c r="J375" s="54" t="s">
        <v>3500</v>
      </c>
      <c r="K375" s="53" t="s">
        <v>3501</v>
      </c>
      <c r="L375" s="55" t="s">
        <v>8</v>
      </c>
      <c r="M375" s="70" t="n">
        <v>6</v>
      </c>
      <c r="N375" s="71" t="s">
        <v>3473</v>
      </c>
      <c r="O375" s="51" t="s">
        <v>95</v>
      </c>
      <c r="P375" s="54"/>
      <c r="Q375" s="54" t="s">
        <v>131</v>
      </c>
      <c r="R375" s="58" t="s">
        <v>132</v>
      </c>
      <c r="S375" s="54" t="s">
        <v>98</v>
      </c>
    </row>
    <row r="376" customFormat="false" ht="35.05" hidden="false" customHeight="false" outlineLevel="0" collapsed="false">
      <c r="A376" s="51" t="s">
        <v>3502</v>
      </c>
      <c r="B376" s="51" t="n">
        <v>372</v>
      </c>
      <c r="C376" s="52" t="s">
        <v>3503</v>
      </c>
      <c r="D376" s="53" t="s">
        <v>3504</v>
      </c>
      <c r="E376" s="54" t="s">
        <v>3505</v>
      </c>
      <c r="F376" s="54" t="s">
        <v>3034</v>
      </c>
      <c r="G376" s="54" t="s">
        <v>3506</v>
      </c>
      <c r="H376" s="54" t="s">
        <v>3507</v>
      </c>
      <c r="I376" s="53" t="s">
        <v>3508</v>
      </c>
      <c r="J376" s="54" t="s">
        <v>3509</v>
      </c>
      <c r="K376" s="53" t="s">
        <v>3510</v>
      </c>
      <c r="L376" s="55" t="s">
        <v>8</v>
      </c>
      <c r="M376" s="70" t="n">
        <v>6</v>
      </c>
      <c r="N376" s="71" t="s">
        <v>3473</v>
      </c>
      <c r="O376" s="51" t="s">
        <v>95</v>
      </c>
      <c r="P376" s="54"/>
      <c r="Q376" s="54" t="s">
        <v>131</v>
      </c>
      <c r="R376" s="58" t="s">
        <v>132</v>
      </c>
      <c r="S376" s="54" t="s">
        <v>98</v>
      </c>
    </row>
    <row r="377" customFormat="false" ht="35.05" hidden="false" customHeight="false" outlineLevel="0" collapsed="false">
      <c r="A377" s="51" t="s">
        <v>3511</v>
      </c>
      <c r="B377" s="51" t="n">
        <v>373</v>
      </c>
      <c r="C377" s="52" t="s">
        <v>3512</v>
      </c>
      <c r="D377" s="53" t="s">
        <v>3513</v>
      </c>
      <c r="E377" s="54" t="s">
        <v>3514</v>
      </c>
      <c r="F377" s="54" t="s">
        <v>3487</v>
      </c>
      <c r="G377" s="54" t="s">
        <v>3515</v>
      </c>
      <c r="H377" s="54" t="s">
        <v>3516</v>
      </c>
      <c r="I377" s="53" t="s">
        <v>3517</v>
      </c>
      <c r="J377" s="54" t="s">
        <v>3518</v>
      </c>
      <c r="K377" s="53" t="s">
        <v>3519</v>
      </c>
      <c r="L377" s="55" t="s">
        <v>8</v>
      </c>
      <c r="M377" s="70" t="n">
        <v>6</v>
      </c>
      <c r="N377" s="71" t="s">
        <v>3473</v>
      </c>
      <c r="O377" s="59" t="s">
        <v>161</v>
      </c>
      <c r="P377" s="54" t="s">
        <v>3520</v>
      </c>
      <c r="Q377" s="54" t="s">
        <v>131</v>
      </c>
      <c r="R377" s="58" t="s">
        <v>132</v>
      </c>
      <c r="S377" s="54" t="s">
        <v>98</v>
      </c>
    </row>
    <row r="378" customFormat="false" ht="35.05" hidden="false" customHeight="false" outlineLevel="0" collapsed="false">
      <c r="A378" s="51" t="s">
        <v>3521</v>
      </c>
      <c r="B378" s="51" t="n">
        <v>374</v>
      </c>
      <c r="C378" s="52" t="s">
        <v>3522</v>
      </c>
      <c r="D378" s="53" t="s">
        <v>3523</v>
      </c>
      <c r="E378" s="54" t="s">
        <v>3524</v>
      </c>
      <c r="F378" s="54" t="s">
        <v>3487</v>
      </c>
      <c r="G378" s="54" t="s">
        <v>3525</v>
      </c>
      <c r="H378" s="54" t="s">
        <v>3526</v>
      </c>
      <c r="I378" s="53" t="s">
        <v>3527</v>
      </c>
      <c r="J378" s="54" t="s">
        <v>3528</v>
      </c>
      <c r="K378" s="53" t="s">
        <v>3529</v>
      </c>
      <c r="L378" s="55" t="s">
        <v>8</v>
      </c>
      <c r="M378" s="70" t="n">
        <v>6</v>
      </c>
      <c r="N378" s="71" t="s">
        <v>3473</v>
      </c>
      <c r="O378" s="51" t="s">
        <v>95</v>
      </c>
      <c r="P378" s="54"/>
      <c r="Q378" s="54" t="s">
        <v>131</v>
      </c>
      <c r="R378" s="58" t="s">
        <v>132</v>
      </c>
      <c r="S378" s="54" t="s">
        <v>98</v>
      </c>
    </row>
    <row r="379" customFormat="false" ht="35.05" hidden="false" customHeight="false" outlineLevel="0" collapsed="false">
      <c r="A379" s="51" t="s">
        <v>3530</v>
      </c>
      <c r="B379" s="51" t="n">
        <v>375</v>
      </c>
      <c r="C379" s="52" t="s">
        <v>3531</v>
      </c>
      <c r="D379" s="53" t="s">
        <v>3532</v>
      </c>
      <c r="E379" s="54" t="s">
        <v>3533</v>
      </c>
      <c r="F379" s="54" t="s">
        <v>3034</v>
      </c>
      <c r="G379" s="54" t="s">
        <v>3534</v>
      </c>
      <c r="H379" s="54" t="s">
        <v>3535</v>
      </c>
      <c r="I379" s="53" t="s">
        <v>3536</v>
      </c>
      <c r="J379" s="54" t="s">
        <v>3537</v>
      </c>
      <c r="K379" s="53" t="s">
        <v>3538</v>
      </c>
      <c r="L379" s="55" t="s">
        <v>8</v>
      </c>
      <c r="M379" s="70" t="n">
        <v>6</v>
      </c>
      <c r="N379" s="71" t="s">
        <v>3473</v>
      </c>
      <c r="O379" s="59" t="s">
        <v>161</v>
      </c>
      <c r="P379" s="54" t="s">
        <v>2119</v>
      </c>
      <c r="Q379" s="54" t="s">
        <v>131</v>
      </c>
      <c r="R379" s="58" t="s">
        <v>132</v>
      </c>
      <c r="S379" s="54" t="s">
        <v>98</v>
      </c>
    </row>
    <row r="380" customFormat="false" ht="35.05" hidden="false" customHeight="false" outlineLevel="0" collapsed="false">
      <c r="A380" s="51" t="s">
        <v>3539</v>
      </c>
      <c r="B380" s="51" t="n">
        <v>376</v>
      </c>
      <c r="C380" s="52" t="s">
        <v>3540</v>
      </c>
      <c r="D380" s="53" t="s">
        <v>3541</v>
      </c>
      <c r="E380" s="54" t="s">
        <v>3542</v>
      </c>
      <c r="F380" s="54" t="s">
        <v>103</v>
      </c>
      <c r="G380" s="54" t="s">
        <v>3543</v>
      </c>
      <c r="H380" s="54" t="s">
        <v>3544</v>
      </c>
      <c r="I380" s="53" t="s">
        <v>3545</v>
      </c>
      <c r="J380" s="54" t="s">
        <v>3546</v>
      </c>
      <c r="K380" s="53" t="s">
        <v>3547</v>
      </c>
      <c r="L380" s="55" t="s">
        <v>8</v>
      </c>
      <c r="M380" s="70" t="n">
        <v>6</v>
      </c>
      <c r="N380" s="71" t="s">
        <v>3473</v>
      </c>
      <c r="O380" s="51" t="s">
        <v>95</v>
      </c>
      <c r="P380" s="54"/>
      <c r="Q380" s="54" t="s">
        <v>131</v>
      </c>
      <c r="R380" s="58" t="s">
        <v>132</v>
      </c>
      <c r="S380" s="54" t="s">
        <v>98</v>
      </c>
    </row>
    <row r="381" customFormat="false" ht="35.05" hidden="false" customHeight="false" outlineLevel="0" collapsed="false">
      <c r="A381" s="51" t="s">
        <v>3548</v>
      </c>
      <c r="B381" s="51" t="n">
        <v>377</v>
      </c>
      <c r="C381" s="52" t="s">
        <v>3549</v>
      </c>
      <c r="D381" s="53" t="s">
        <v>3550</v>
      </c>
      <c r="E381" s="54" t="s">
        <v>3551</v>
      </c>
      <c r="F381" s="54" t="s">
        <v>3034</v>
      </c>
      <c r="G381" s="54" t="s">
        <v>3552</v>
      </c>
      <c r="H381" s="54" t="s">
        <v>3553</v>
      </c>
      <c r="I381" s="53" t="s">
        <v>3554</v>
      </c>
      <c r="J381" s="54" t="s">
        <v>3555</v>
      </c>
      <c r="K381" s="53" t="s">
        <v>3556</v>
      </c>
      <c r="L381" s="55" t="s">
        <v>8</v>
      </c>
      <c r="M381" s="70" t="n">
        <v>6</v>
      </c>
      <c r="N381" s="71" t="s">
        <v>3473</v>
      </c>
      <c r="O381" s="51" t="s">
        <v>95</v>
      </c>
      <c r="P381" s="54"/>
      <c r="Q381" s="54" t="s">
        <v>131</v>
      </c>
      <c r="R381" s="58" t="s">
        <v>132</v>
      </c>
      <c r="S381" s="54" t="s">
        <v>98</v>
      </c>
    </row>
    <row r="382" customFormat="false" ht="35.05" hidden="false" customHeight="false" outlineLevel="0" collapsed="false">
      <c r="A382" s="51" t="s">
        <v>3557</v>
      </c>
      <c r="B382" s="51" t="n">
        <v>378</v>
      </c>
      <c r="C382" s="52" t="s">
        <v>3558</v>
      </c>
      <c r="D382" s="53" t="s">
        <v>3559</v>
      </c>
      <c r="E382" s="54" t="s">
        <v>3560</v>
      </c>
      <c r="F382" s="54" t="s">
        <v>614</v>
      </c>
      <c r="G382" s="54" t="s">
        <v>3561</v>
      </c>
      <c r="H382" s="54" t="s">
        <v>3562</v>
      </c>
      <c r="I382" s="53" t="s">
        <v>3563</v>
      </c>
      <c r="J382" s="54" t="s">
        <v>3564</v>
      </c>
      <c r="K382" s="53" t="s">
        <v>3565</v>
      </c>
      <c r="L382" s="55" t="s">
        <v>8</v>
      </c>
      <c r="M382" s="70" t="n">
        <v>6</v>
      </c>
      <c r="N382" s="71" t="s">
        <v>3473</v>
      </c>
      <c r="O382" s="59" t="s">
        <v>161</v>
      </c>
      <c r="P382" s="54" t="s">
        <v>620</v>
      </c>
      <c r="Q382" s="54" t="s">
        <v>131</v>
      </c>
      <c r="R382" s="58" t="s">
        <v>132</v>
      </c>
      <c r="S382" s="54" t="s">
        <v>98</v>
      </c>
    </row>
    <row r="383" customFormat="false" ht="35.05" hidden="false" customHeight="false" outlineLevel="0" collapsed="false">
      <c r="A383" s="51" t="s">
        <v>3566</v>
      </c>
      <c r="B383" s="51" t="n">
        <v>379</v>
      </c>
      <c r="C383" s="52" t="s">
        <v>3567</v>
      </c>
      <c r="D383" s="53" t="s">
        <v>3568</v>
      </c>
      <c r="E383" s="54" t="s">
        <v>3569</v>
      </c>
      <c r="F383" s="54" t="s">
        <v>3487</v>
      </c>
      <c r="G383" s="54" t="s">
        <v>3570</v>
      </c>
      <c r="H383" s="54" t="s">
        <v>3571</v>
      </c>
      <c r="I383" s="53" t="s">
        <v>3572</v>
      </c>
      <c r="J383" s="54" t="s">
        <v>3573</v>
      </c>
      <c r="K383" s="53" t="s">
        <v>3574</v>
      </c>
      <c r="L383" s="55" t="s">
        <v>8</v>
      </c>
      <c r="M383" s="70" t="n">
        <v>6</v>
      </c>
      <c r="N383" s="71" t="s">
        <v>3473</v>
      </c>
      <c r="O383" s="59" t="s">
        <v>161</v>
      </c>
      <c r="P383" s="54" t="s">
        <v>3575</v>
      </c>
      <c r="Q383" s="54" t="s">
        <v>131</v>
      </c>
      <c r="R383" s="58" t="s">
        <v>132</v>
      </c>
      <c r="S383" s="54" t="s">
        <v>98</v>
      </c>
    </row>
    <row r="384" customFormat="false" ht="35.05" hidden="false" customHeight="false" outlineLevel="0" collapsed="false">
      <c r="A384" s="51" t="s">
        <v>3576</v>
      </c>
      <c r="B384" s="51" t="n">
        <v>380</v>
      </c>
      <c r="C384" s="52" t="s">
        <v>3577</v>
      </c>
      <c r="D384" s="53" t="s">
        <v>3578</v>
      </c>
      <c r="E384" s="54" t="s">
        <v>3579</v>
      </c>
      <c r="F384" s="54" t="s">
        <v>3487</v>
      </c>
      <c r="G384" s="54" t="s">
        <v>3580</v>
      </c>
      <c r="H384" s="54" t="s">
        <v>3581</v>
      </c>
      <c r="I384" s="53" t="s">
        <v>3582</v>
      </c>
      <c r="J384" s="54" t="s">
        <v>3583</v>
      </c>
      <c r="K384" s="53" t="s">
        <v>3584</v>
      </c>
      <c r="L384" s="55" t="s">
        <v>8</v>
      </c>
      <c r="M384" s="70" t="n">
        <v>6</v>
      </c>
      <c r="N384" s="71" t="s">
        <v>3473</v>
      </c>
      <c r="O384" s="59" t="s">
        <v>161</v>
      </c>
      <c r="P384" s="54" t="s">
        <v>3585</v>
      </c>
      <c r="Q384" s="54" t="s">
        <v>131</v>
      </c>
      <c r="R384" s="58" t="s">
        <v>132</v>
      </c>
      <c r="S384" s="54" t="s">
        <v>98</v>
      </c>
    </row>
    <row r="385" customFormat="false" ht="46.25" hidden="false" customHeight="false" outlineLevel="0" collapsed="false">
      <c r="A385" s="51" t="s">
        <v>3586</v>
      </c>
      <c r="B385" s="51" t="n">
        <v>381</v>
      </c>
      <c r="C385" s="52" t="s">
        <v>3587</v>
      </c>
      <c r="D385" s="53" t="s">
        <v>3588</v>
      </c>
      <c r="E385" s="54" t="s">
        <v>3589</v>
      </c>
      <c r="F385" s="54" t="s">
        <v>176</v>
      </c>
      <c r="G385" s="54" t="s">
        <v>3590</v>
      </c>
      <c r="H385" s="54" t="s">
        <v>3591</v>
      </c>
      <c r="I385" s="53" t="s">
        <v>3592</v>
      </c>
      <c r="J385" s="54" t="s">
        <v>3593</v>
      </c>
      <c r="K385" s="53" t="s">
        <v>3594</v>
      </c>
      <c r="L385" s="55" t="s">
        <v>8</v>
      </c>
      <c r="M385" s="70" t="n">
        <v>6</v>
      </c>
      <c r="N385" s="71" t="s">
        <v>3473</v>
      </c>
      <c r="O385" s="51" t="s">
        <v>95</v>
      </c>
      <c r="P385" s="54"/>
      <c r="Q385" s="54" t="s">
        <v>109</v>
      </c>
      <c r="R385" s="58" t="s">
        <v>110</v>
      </c>
      <c r="S385" s="54" t="s">
        <v>98</v>
      </c>
    </row>
    <row r="386" customFormat="false" ht="35.05" hidden="false" customHeight="false" outlineLevel="0" collapsed="false">
      <c r="A386" s="51" t="s">
        <v>3595</v>
      </c>
      <c r="B386" s="51" t="n">
        <v>382</v>
      </c>
      <c r="C386" s="52" t="s">
        <v>3596</v>
      </c>
      <c r="D386" s="53" t="s">
        <v>3597</v>
      </c>
      <c r="E386" s="54" t="s">
        <v>3598</v>
      </c>
      <c r="F386" s="54" t="s">
        <v>3034</v>
      </c>
      <c r="G386" s="54" t="s">
        <v>3599</v>
      </c>
      <c r="H386" s="54" t="s">
        <v>3600</v>
      </c>
      <c r="I386" s="53" t="s">
        <v>3601</v>
      </c>
      <c r="J386" s="54" t="s">
        <v>3602</v>
      </c>
      <c r="K386" s="53" t="s">
        <v>3603</v>
      </c>
      <c r="L386" s="55" t="s">
        <v>8</v>
      </c>
      <c r="M386" s="70" t="n">
        <v>6</v>
      </c>
      <c r="N386" s="71" t="s">
        <v>3473</v>
      </c>
      <c r="O386" s="51" t="s">
        <v>95</v>
      </c>
      <c r="P386" s="54"/>
      <c r="Q386" s="54" t="s">
        <v>131</v>
      </c>
      <c r="R386" s="58" t="s">
        <v>132</v>
      </c>
      <c r="S386" s="54" t="s">
        <v>98</v>
      </c>
    </row>
    <row r="387" customFormat="false" ht="35.05" hidden="false" customHeight="false" outlineLevel="0" collapsed="false">
      <c r="A387" s="51" t="s">
        <v>3604</v>
      </c>
      <c r="B387" s="51" t="n">
        <v>383</v>
      </c>
      <c r="C387" s="52" t="s">
        <v>3605</v>
      </c>
      <c r="D387" s="53" t="s">
        <v>3606</v>
      </c>
      <c r="E387" s="54" t="s">
        <v>3607</v>
      </c>
      <c r="F387" s="54" t="s">
        <v>103</v>
      </c>
      <c r="G387" s="54" t="s">
        <v>3608</v>
      </c>
      <c r="H387" s="54" t="s">
        <v>3609</v>
      </c>
      <c r="I387" s="53" t="s">
        <v>3610</v>
      </c>
      <c r="J387" s="54" t="s">
        <v>3611</v>
      </c>
      <c r="K387" s="53" t="s">
        <v>3612</v>
      </c>
      <c r="L387" s="55" t="s">
        <v>8</v>
      </c>
      <c r="M387" s="70" t="n">
        <v>6</v>
      </c>
      <c r="N387" s="71" t="s">
        <v>3473</v>
      </c>
      <c r="O387" s="51" t="s">
        <v>95</v>
      </c>
      <c r="P387" s="54"/>
      <c r="Q387" s="54" t="s">
        <v>131</v>
      </c>
      <c r="R387" s="58" t="s">
        <v>132</v>
      </c>
      <c r="S387" s="54" t="s">
        <v>98</v>
      </c>
    </row>
    <row r="388" customFormat="false" ht="35.05" hidden="false" customHeight="false" outlineLevel="0" collapsed="false">
      <c r="A388" s="51" t="s">
        <v>3613</v>
      </c>
      <c r="B388" s="51" t="n">
        <v>384</v>
      </c>
      <c r="C388" s="52" t="s">
        <v>3614</v>
      </c>
      <c r="D388" s="53" t="s">
        <v>3615</v>
      </c>
      <c r="E388" s="54" t="s">
        <v>3616</v>
      </c>
      <c r="F388" s="54" t="s">
        <v>3034</v>
      </c>
      <c r="G388" s="54" t="s">
        <v>3617</v>
      </c>
      <c r="H388" s="54" t="s">
        <v>3618</v>
      </c>
      <c r="I388" s="53" t="s">
        <v>3619</v>
      </c>
      <c r="J388" s="54" t="s">
        <v>3620</v>
      </c>
      <c r="K388" s="53" t="s">
        <v>3621</v>
      </c>
      <c r="L388" s="55" t="s">
        <v>8</v>
      </c>
      <c r="M388" s="70" t="n">
        <v>6</v>
      </c>
      <c r="N388" s="71" t="s">
        <v>3473</v>
      </c>
      <c r="O388" s="51" t="s">
        <v>95</v>
      </c>
      <c r="P388" s="54"/>
      <c r="Q388" s="54" t="s">
        <v>131</v>
      </c>
      <c r="R388" s="58" t="s">
        <v>132</v>
      </c>
      <c r="S388" s="54" t="s">
        <v>98</v>
      </c>
    </row>
    <row r="389" customFormat="false" ht="35.05" hidden="false" customHeight="false" outlineLevel="0" collapsed="false">
      <c r="A389" s="51" t="s">
        <v>3622</v>
      </c>
      <c r="B389" s="51" t="n">
        <v>385</v>
      </c>
      <c r="C389" s="52" t="s">
        <v>3623</v>
      </c>
      <c r="D389" s="53" t="s">
        <v>3624</v>
      </c>
      <c r="E389" s="54" t="s">
        <v>3625</v>
      </c>
      <c r="F389" s="54" t="s">
        <v>3034</v>
      </c>
      <c r="G389" s="54" t="s">
        <v>3626</v>
      </c>
      <c r="H389" s="54" t="s">
        <v>3627</v>
      </c>
      <c r="I389" s="53" t="s">
        <v>3628</v>
      </c>
      <c r="J389" s="54" t="s">
        <v>3629</v>
      </c>
      <c r="K389" s="53" t="s">
        <v>3630</v>
      </c>
      <c r="L389" s="55" t="s">
        <v>8</v>
      </c>
      <c r="M389" s="70" t="n">
        <v>6</v>
      </c>
      <c r="N389" s="71" t="s">
        <v>3473</v>
      </c>
      <c r="O389" s="59" t="s">
        <v>161</v>
      </c>
      <c r="P389" s="54" t="s">
        <v>3585</v>
      </c>
      <c r="Q389" s="54" t="s">
        <v>131</v>
      </c>
      <c r="R389" s="58" t="s">
        <v>132</v>
      </c>
      <c r="S389" s="54" t="s">
        <v>98</v>
      </c>
    </row>
    <row r="390" customFormat="false" ht="35.05" hidden="false" customHeight="false" outlineLevel="0" collapsed="false">
      <c r="A390" s="51" t="s">
        <v>3631</v>
      </c>
      <c r="B390" s="51" t="n">
        <v>386</v>
      </c>
      <c r="C390" s="52" t="s">
        <v>3632</v>
      </c>
      <c r="D390" s="53" t="s">
        <v>3633</v>
      </c>
      <c r="E390" s="54" t="s">
        <v>3634</v>
      </c>
      <c r="F390" s="54" t="s">
        <v>3487</v>
      </c>
      <c r="G390" s="54" t="s">
        <v>3635</v>
      </c>
      <c r="H390" s="54" t="s">
        <v>3636</v>
      </c>
      <c r="I390" s="53" t="s">
        <v>3637</v>
      </c>
      <c r="J390" s="54" t="s">
        <v>3638</v>
      </c>
      <c r="K390" s="53" t="s">
        <v>3639</v>
      </c>
      <c r="L390" s="60" t="s">
        <v>9</v>
      </c>
      <c r="M390" s="70" t="n">
        <v>6</v>
      </c>
      <c r="N390" s="71" t="s">
        <v>3473</v>
      </c>
      <c r="O390" s="51" t="s">
        <v>95</v>
      </c>
      <c r="P390" s="54"/>
      <c r="Q390" s="54" t="s">
        <v>131</v>
      </c>
      <c r="R390" s="58" t="s">
        <v>132</v>
      </c>
      <c r="S390" s="54" t="s">
        <v>98</v>
      </c>
    </row>
    <row r="391" customFormat="false" ht="35.05" hidden="false" customHeight="false" outlineLevel="0" collapsed="false">
      <c r="A391" s="51" t="s">
        <v>3640</v>
      </c>
      <c r="B391" s="51" t="n">
        <v>387</v>
      </c>
      <c r="C391" s="52" t="s">
        <v>3641</v>
      </c>
      <c r="D391" s="53" t="s">
        <v>3642</v>
      </c>
      <c r="E391" s="54" t="s">
        <v>3643</v>
      </c>
      <c r="F391" s="54" t="s">
        <v>548</v>
      </c>
      <c r="G391" s="54" t="s">
        <v>3644</v>
      </c>
      <c r="H391" s="54" t="s">
        <v>3645</v>
      </c>
      <c r="I391" s="53" t="s">
        <v>3646</v>
      </c>
      <c r="J391" s="54" t="s">
        <v>3647</v>
      </c>
      <c r="K391" s="53" t="s">
        <v>3648</v>
      </c>
      <c r="L391" s="60" t="s">
        <v>9</v>
      </c>
      <c r="M391" s="70" t="n">
        <v>6</v>
      </c>
      <c r="N391" s="71" t="s">
        <v>3473</v>
      </c>
      <c r="O391" s="51" t="s">
        <v>95</v>
      </c>
      <c r="P391" s="54"/>
      <c r="Q391" s="54" t="s">
        <v>131</v>
      </c>
      <c r="R391" s="58" t="s">
        <v>132</v>
      </c>
      <c r="S391" s="54" t="s">
        <v>98</v>
      </c>
    </row>
    <row r="392" customFormat="false" ht="35.05" hidden="false" customHeight="false" outlineLevel="0" collapsed="false">
      <c r="A392" s="51" t="s">
        <v>3649</v>
      </c>
      <c r="B392" s="51" t="n">
        <v>388</v>
      </c>
      <c r="C392" s="52" t="s">
        <v>3650</v>
      </c>
      <c r="D392" s="53" t="s">
        <v>3651</v>
      </c>
      <c r="E392" s="54" t="s">
        <v>3652</v>
      </c>
      <c r="F392" s="54" t="s">
        <v>3487</v>
      </c>
      <c r="G392" s="54" t="s">
        <v>3653</v>
      </c>
      <c r="H392" s="54" t="s">
        <v>3654</v>
      </c>
      <c r="I392" s="53" t="s">
        <v>3655</v>
      </c>
      <c r="J392" s="54" t="s">
        <v>3656</v>
      </c>
      <c r="K392" s="53" t="s">
        <v>3657</v>
      </c>
      <c r="L392" s="60" t="s">
        <v>9</v>
      </c>
      <c r="M392" s="70" t="n">
        <v>6</v>
      </c>
      <c r="N392" s="71" t="s">
        <v>3473</v>
      </c>
      <c r="O392" s="59" t="s">
        <v>161</v>
      </c>
      <c r="P392" s="54" t="s">
        <v>3658</v>
      </c>
      <c r="Q392" s="54" t="s">
        <v>131</v>
      </c>
      <c r="R392" s="58" t="s">
        <v>132</v>
      </c>
      <c r="S392" s="54" t="s">
        <v>98</v>
      </c>
    </row>
    <row r="393" customFormat="false" ht="35.05" hidden="false" customHeight="false" outlineLevel="0" collapsed="false">
      <c r="A393" s="51" t="s">
        <v>3659</v>
      </c>
      <c r="B393" s="51" t="n">
        <v>389</v>
      </c>
      <c r="C393" s="52" t="s">
        <v>3660</v>
      </c>
      <c r="D393" s="53" t="s">
        <v>3661</v>
      </c>
      <c r="E393" s="54" t="s">
        <v>3662</v>
      </c>
      <c r="F393" s="54" t="s">
        <v>3487</v>
      </c>
      <c r="G393" s="54" t="s">
        <v>3663</v>
      </c>
      <c r="H393" s="54" t="s">
        <v>3664</v>
      </c>
      <c r="I393" s="53" t="s">
        <v>3665</v>
      </c>
      <c r="J393" s="54" t="s">
        <v>3666</v>
      </c>
      <c r="K393" s="53" t="s">
        <v>3667</v>
      </c>
      <c r="L393" s="60" t="s">
        <v>9</v>
      </c>
      <c r="M393" s="70" t="n">
        <v>6</v>
      </c>
      <c r="N393" s="71" t="s">
        <v>3473</v>
      </c>
      <c r="O393" s="59" t="s">
        <v>161</v>
      </c>
      <c r="P393" s="54" t="s">
        <v>3658</v>
      </c>
      <c r="Q393" s="54" t="s">
        <v>131</v>
      </c>
      <c r="R393" s="58" t="s">
        <v>132</v>
      </c>
      <c r="S393" s="54" t="s">
        <v>98</v>
      </c>
    </row>
    <row r="394" customFormat="false" ht="35.05" hidden="false" customHeight="false" outlineLevel="0" collapsed="false">
      <c r="A394" s="51" t="s">
        <v>3668</v>
      </c>
      <c r="B394" s="51" t="n">
        <v>390</v>
      </c>
      <c r="C394" s="52" t="s">
        <v>3669</v>
      </c>
      <c r="D394" s="53" t="s">
        <v>3670</v>
      </c>
      <c r="E394" s="54" t="s">
        <v>3671</v>
      </c>
      <c r="F394" s="54" t="s">
        <v>3487</v>
      </c>
      <c r="G394" s="54" t="s">
        <v>3672</v>
      </c>
      <c r="H394" s="54" t="s">
        <v>3673</v>
      </c>
      <c r="I394" s="53" t="s">
        <v>3674</v>
      </c>
      <c r="J394" s="54" t="s">
        <v>3675</v>
      </c>
      <c r="K394" s="53" t="s">
        <v>3676</v>
      </c>
      <c r="L394" s="60" t="s">
        <v>9</v>
      </c>
      <c r="M394" s="70" t="n">
        <v>6</v>
      </c>
      <c r="N394" s="71" t="s">
        <v>3473</v>
      </c>
      <c r="O394" s="51" t="s">
        <v>95</v>
      </c>
      <c r="P394" s="54"/>
      <c r="Q394" s="54" t="s">
        <v>131</v>
      </c>
      <c r="R394" s="58" t="s">
        <v>132</v>
      </c>
      <c r="S394" s="54" t="s">
        <v>98</v>
      </c>
    </row>
    <row r="395" customFormat="false" ht="35.05" hidden="false" customHeight="false" outlineLevel="0" collapsed="false">
      <c r="A395" s="51" t="s">
        <v>3677</v>
      </c>
      <c r="B395" s="51" t="n">
        <v>391</v>
      </c>
      <c r="C395" s="52" t="s">
        <v>3678</v>
      </c>
      <c r="D395" s="53" t="s">
        <v>3679</v>
      </c>
      <c r="E395" s="54" t="s">
        <v>3680</v>
      </c>
      <c r="F395" s="54" t="s">
        <v>3034</v>
      </c>
      <c r="G395" s="54" t="s">
        <v>3681</v>
      </c>
      <c r="H395" s="54" t="s">
        <v>3682</v>
      </c>
      <c r="I395" s="53" t="s">
        <v>3683</v>
      </c>
      <c r="J395" s="54" t="s">
        <v>3684</v>
      </c>
      <c r="K395" s="53" t="s">
        <v>3685</v>
      </c>
      <c r="L395" s="60" t="s">
        <v>9</v>
      </c>
      <c r="M395" s="70" t="n">
        <v>6</v>
      </c>
      <c r="N395" s="71" t="s">
        <v>3473</v>
      </c>
      <c r="O395" s="51" t="s">
        <v>95</v>
      </c>
      <c r="P395" s="54"/>
      <c r="Q395" s="54" t="s">
        <v>131</v>
      </c>
      <c r="R395" s="58" t="s">
        <v>132</v>
      </c>
      <c r="S395" s="54" t="s">
        <v>98</v>
      </c>
    </row>
    <row r="396" customFormat="false" ht="35.05" hidden="false" customHeight="false" outlineLevel="0" collapsed="false">
      <c r="A396" s="51" t="s">
        <v>3686</v>
      </c>
      <c r="B396" s="51" t="n">
        <v>392</v>
      </c>
      <c r="C396" s="52" t="s">
        <v>3687</v>
      </c>
      <c r="D396" s="53" t="s">
        <v>3688</v>
      </c>
      <c r="E396" s="54" t="s">
        <v>3689</v>
      </c>
      <c r="F396" s="54" t="s">
        <v>1120</v>
      </c>
      <c r="G396" s="54" t="s">
        <v>3690</v>
      </c>
      <c r="H396" s="54" t="s">
        <v>3691</v>
      </c>
      <c r="I396" s="53" t="s">
        <v>3692</v>
      </c>
      <c r="J396" s="54" t="s">
        <v>3693</v>
      </c>
      <c r="K396" s="53" t="s">
        <v>3694</v>
      </c>
      <c r="L396" s="60" t="s">
        <v>9</v>
      </c>
      <c r="M396" s="70" t="n">
        <v>6</v>
      </c>
      <c r="N396" s="71" t="s">
        <v>3473</v>
      </c>
      <c r="O396" s="59" t="s">
        <v>161</v>
      </c>
      <c r="P396" s="54" t="s">
        <v>3695</v>
      </c>
      <c r="Q396" s="54" t="s">
        <v>516</v>
      </c>
      <c r="R396" s="58" t="s">
        <v>517</v>
      </c>
      <c r="S396" s="54" t="s">
        <v>98</v>
      </c>
    </row>
    <row r="397" customFormat="false" ht="35.05" hidden="false" customHeight="false" outlineLevel="0" collapsed="false">
      <c r="A397" s="51" t="s">
        <v>3696</v>
      </c>
      <c r="B397" s="51" t="n">
        <v>393</v>
      </c>
      <c r="C397" s="52" t="s">
        <v>3697</v>
      </c>
      <c r="D397" s="53" t="s">
        <v>3698</v>
      </c>
      <c r="E397" s="54" t="s">
        <v>3699</v>
      </c>
      <c r="F397" s="54" t="s">
        <v>3487</v>
      </c>
      <c r="G397" s="54" t="s">
        <v>3700</v>
      </c>
      <c r="H397" s="54" t="s">
        <v>3701</v>
      </c>
      <c r="I397" s="53" t="s">
        <v>3702</v>
      </c>
      <c r="J397" s="54" t="s">
        <v>3703</v>
      </c>
      <c r="K397" s="53" t="s">
        <v>3704</v>
      </c>
      <c r="L397" s="60" t="s">
        <v>9</v>
      </c>
      <c r="M397" s="70" t="n">
        <v>6</v>
      </c>
      <c r="N397" s="71" t="s">
        <v>3473</v>
      </c>
      <c r="O397" s="59" t="s">
        <v>161</v>
      </c>
      <c r="P397" s="54" t="s">
        <v>3575</v>
      </c>
      <c r="Q397" s="54" t="s">
        <v>131</v>
      </c>
      <c r="R397" s="58" t="s">
        <v>132</v>
      </c>
      <c r="S397" s="54" t="s">
        <v>98</v>
      </c>
    </row>
    <row r="398" customFormat="false" ht="35.05" hidden="false" customHeight="false" outlineLevel="0" collapsed="false">
      <c r="A398" s="51" t="s">
        <v>3705</v>
      </c>
      <c r="B398" s="51" t="n">
        <v>394</v>
      </c>
      <c r="C398" s="52" t="s">
        <v>3706</v>
      </c>
      <c r="D398" s="53" t="s">
        <v>3707</v>
      </c>
      <c r="E398" s="54" t="s">
        <v>3708</v>
      </c>
      <c r="F398" s="54" t="s">
        <v>614</v>
      </c>
      <c r="G398" s="54" t="s">
        <v>3709</v>
      </c>
      <c r="H398" s="54" t="s">
        <v>3710</v>
      </c>
      <c r="I398" s="53" t="s">
        <v>3711</v>
      </c>
      <c r="J398" s="54" t="s">
        <v>3712</v>
      </c>
      <c r="K398" s="53" t="s">
        <v>3713</v>
      </c>
      <c r="L398" s="60" t="s">
        <v>9</v>
      </c>
      <c r="M398" s="70" t="n">
        <v>6</v>
      </c>
      <c r="N398" s="71" t="s">
        <v>3473</v>
      </c>
      <c r="O398" s="51" t="s">
        <v>95</v>
      </c>
      <c r="P398" s="54"/>
      <c r="Q398" s="54" t="s">
        <v>516</v>
      </c>
      <c r="R398" s="58" t="s">
        <v>517</v>
      </c>
      <c r="S398" s="54" t="s">
        <v>98</v>
      </c>
    </row>
    <row r="399" customFormat="false" ht="35.05" hidden="false" customHeight="false" outlineLevel="0" collapsed="false">
      <c r="A399" s="51" t="s">
        <v>3714</v>
      </c>
      <c r="B399" s="51" t="n">
        <v>395</v>
      </c>
      <c r="C399" s="52" t="s">
        <v>3715</v>
      </c>
      <c r="D399" s="53" t="s">
        <v>3716</v>
      </c>
      <c r="E399" s="54" t="s">
        <v>3717</v>
      </c>
      <c r="F399" s="54" t="s">
        <v>3487</v>
      </c>
      <c r="G399" s="54" t="s">
        <v>3718</v>
      </c>
      <c r="H399" s="54" t="s">
        <v>3719</v>
      </c>
      <c r="I399" s="53" t="s">
        <v>3720</v>
      </c>
      <c r="J399" s="54" t="s">
        <v>3721</v>
      </c>
      <c r="K399" s="53" t="s">
        <v>3722</v>
      </c>
      <c r="L399" s="60" t="s">
        <v>9</v>
      </c>
      <c r="M399" s="70" t="n">
        <v>6</v>
      </c>
      <c r="N399" s="71" t="s">
        <v>3473</v>
      </c>
      <c r="O399" s="51" t="s">
        <v>95</v>
      </c>
      <c r="P399" s="54"/>
      <c r="Q399" s="54" t="s">
        <v>131</v>
      </c>
      <c r="R399" s="58" t="s">
        <v>132</v>
      </c>
      <c r="S399" s="54" t="s">
        <v>98</v>
      </c>
    </row>
    <row r="400" customFormat="false" ht="35.05" hidden="false" customHeight="false" outlineLevel="0" collapsed="false">
      <c r="A400" s="51" t="s">
        <v>3723</v>
      </c>
      <c r="B400" s="51" t="n">
        <v>396</v>
      </c>
      <c r="C400" s="52" t="s">
        <v>3724</v>
      </c>
      <c r="D400" s="53" t="s">
        <v>3725</v>
      </c>
      <c r="E400" s="54" t="s">
        <v>3726</v>
      </c>
      <c r="F400" s="54" t="s">
        <v>103</v>
      </c>
      <c r="G400" s="54" t="s">
        <v>3727</v>
      </c>
      <c r="H400" s="54" t="s">
        <v>3728</v>
      </c>
      <c r="I400" s="53" t="s">
        <v>3729</v>
      </c>
      <c r="J400" s="54" t="s">
        <v>3730</v>
      </c>
      <c r="K400" s="53" t="s">
        <v>3731</v>
      </c>
      <c r="L400" s="60" t="s">
        <v>9</v>
      </c>
      <c r="M400" s="70" t="n">
        <v>6</v>
      </c>
      <c r="N400" s="71" t="s">
        <v>3473</v>
      </c>
      <c r="O400" s="51" t="s">
        <v>95</v>
      </c>
      <c r="P400" s="54"/>
      <c r="Q400" s="54" t="s">
        <v>131</v>
      </c>
      <c r="R400" s="58" t="s">
        <v>132</v>
      </c>
      <c r="S400" s="54" t="s">
        <v>98</v>
      </c>
    </row>
    <row r="401" customFormat="false" ht="35.05" hidden="false" customHeight="false" outlineLevel="0" collapsed="false">
      <c r="A401" s="51" t="s">
        <v>3732</v>
      </c>
      <c r="B401" s="51" t="n">
        <v>397</v>
      </c>
      <c r="C401" s="52" t="s">
        <v>3733</v>
      </c>
      <c r="D401" s="53" t="s">
        <v>3734</v>
      </c>
      <c r="E401" s="54" t="s">
        <v>3735</v>
      </c>
      <c r="F401" s="54" t="s">
        <v>103</v>
      </c>
      <c r="G401" s="54" t="s">
        <v>3736</v>
      </c>
      <c r="H401" s="54" t="s">
        <v>3737</v>
      </c>
      <c r="I401" s="53" t="s">
        <v>3738</v>
      </c>
      <c r="J401" s="54" t="s">
        <v>3739</v>
      </c>
      <c r="K401" s="53" t="s">
        <v>3740</v>
      </c>
      <c r="L401" s="60" t="s">
        <v>9</v>
      </c>
      <c r="M401" s="70" t="n">
        <v>6</v>
      </c>
      <c r="N401" s="71" t="s">
        <v>3473</v>
      </c>
      <c r="O401" s="51" t="s">
        <v>95</v>
      </c>
      <c r="P401" s="54"/>
      <c r="Q401" s="54" t="s">
        <v>131</v>
      </c>
      <c r="R401" s="58" t="s">
        <v>132</v>
      </c>
      <c r="S401" s="54" t="s">
        <v>98</v>
      </c>
    </row>
    <row r="402" customFormat="false" ht="35.05" hidden="false" customHeight="false" outlineLevel="0" collapsed="false">
      <c r="A402" s="51" t="s">
        <v>3741</v>
      </c>
      <c r="B402" s="51" t="n">
        <v>398</v>
      </c>
      <c r="C402" s="52" t="s">
        <v>3742</v>
      </c>
      <c r="D402" s="53" t="s">
        <v>3743</v>
      </c>
      <c r="E402" s="54" t="s">
        <v>3744</v>
      </c>
      <c r="F402" s="54" t="s">
        <v>614</v>
      </c>
      <c r="G402" s="54" t="s">
        <v>3745</v>
      </c>
      <c r="H402" s="54" t="s">
        <v>3746</v>
      </c>
      <c r="I402" s="53" t="s">
        <v>3747</v>
      </c>
      <c r="J402" s="54" t="s">
        <v>3748</v>
      </c>
      <c r="K402" s="53" t="s">
        <v>3749</v>
      </c>
      <c r="L402" s="60" t="s">
        <v>9</v>
      </c>
      <c r="M402" s="70" t="n">
        <v>6</v>
      </c>
      <c r="N402" s="71" t="s">
        <v>3473</v>
      </c>
      <c r="O402" s="59" t="s">
        <v>161</v>
      </c>
      <c r="P402" s="54" t="s">
        <v>3750</v>
      </c>
      <c r="Q402" s="54" t="s">
        <v>131</v>
      </c>
      <c r="R402" s="58" t="s">
        <v>132</v>
      </c>
      <c r="S402" s="54" t="s">
        <v>98</v>
      </c>
    </row>
    <row r="403" customFormat="false" ht="35.05" hidden="false" customHeight="false" outlineLevel="0" collapsed="false">
      <c r="A403" s="51" t="s">
        <v>3751</v>
      </c>
      <c r="B403" s="51" t="n">
        <v>399</v>
      </c>
      <c r="C403" s="52" t="s">
        <v>3752</v>
      </c>
      <c r="D403" s="53" t="s">
        <v>3753</v>
      </c>
      <c r="E403" s="54" t="s">
        <v>3754</v>
      </c>
      <c r="F403" s="54" t="s">
        <v>103</v>
      </c>
      <c r="G403" s="54" t="s">
        <v>3755</v>
      </c>
      <c r="H403" s="54" t="s">
        <v>3756</v>
      </c>
      <c r="I403" s="53" t="s">
        <v>3757</v>
      </c>
      <c r="J403" s="54" t="s">
        <v>3758</v>
      </c>
      <c r="K403" s="53" t="s">
        <v>3759</v>
      </c>
      <c r="L403" s="60" t="s">
        <v>9</v>
      </c>
      <c r="M403" s="70" t="n">
        <v>6</v>
      </c>
      <c r="N403" s="71" t="s">
        <v>3473</v>
      </c>
      <c r="O403" s="51" t="s">
        <v>95</v>
      </c>
      <c r="P403" s="54"/>
      <c r="Q403" s="54" t="s">
        <v>131</v>
      </c>
      <c r="R403" s="58" t="s">
        <v>132</v>
      </c>
      <c r="S403" s="54" t="s">
        <v>98</v>
      </c>
    </row>
    <row r="404" customFormat="false" ht="35.05" hidden="false" customHeight="false" outlineLevel="0" collapsed="false">
      <c r="A404" s="51" t="s">
        <v>3760</v>
      </c>
      <c r="B404" s="51" t="n">
        <v>400</v>
      </c>
      <c r="C404" s="52" t="s">
        <v>3761</v>
      </c>
      <c r="D404" s="53" t="s">
        <v>3762</v>
      </c>
      <c r="E404" s="54" t="s">
        <v>3763</v>
      </c>
      <c r="F404" s="54" t="s">
        <v>115</v>
      </c>
      <c r="G404" s="54" t="s">
        <v>3764</v>
      </c>
      <c r="H404" s="54" t="s">
        <v>3765</v>
      </c>
      <c r="I404" s="53" t="s">
        <v>3766</v>
      </c>
      <c r="J404" s="54" t="s">
        <v>3767</v>
      </c>
      <c r="K404" s="53" t="s">
        <v>3768</v>
      </c>
      <c r="L404" s="60" t="s">
        <v>9</v>
      </c>
      <c r="M404" s="70" t="n">
        <v>6</v>
      </c>
      <c r="N404" s="71" t="s">
        <v>3473</v>
      </c>
      <c r="O404" s="51" t="s">
        <v>95</v>
      </c>
      <c r="P404" s="54"/>
      <c r="Q404" s="54" t="s">
        <v>131</v>
      </c>
      <c r="R404" s="58" t="s">
        <v>132</v>
      </c>
      <c r="S404" s="54" t="s">
        <v>98</v>
      </c>
    </row>
    <row r="405" customFormat="false" ht="35.05" hidden="false" customHeight="false" outlineLevel="0" collapsed="false">
      <c r="A405" s="51" t="s">
        <v>3769</v>
      </c>
      <c r="B405" s="51" t="n">
        <v>401</v>
      </c>
      <c r="C405" s="52" t="s">
        <v>3770</v>
      </c>
      <c r="D405" s="53" t="s">
        <v>3771</v>
      </c>
      <c r="E405" s="54" t="s">
        <v>3772</v>
      </c>
      <c r="F405" s="54" t="s">
        <v>103</v>
      </c>
      <c r="G405" s="54" t="s">
        <v>3773</v>
      </c>
      <c r="H405" s="54" t="s">
        <v>3774</v>
      </c>
      <c r="I405" s="53" t="s">
        <v>3775</v>
      </c>
      <c r="J405" s="54" t="s">
        <v>3776</v>
      </c>
      <c r="K405" s="53" t="s">
        <v>3777</v>
      </c>
      <c r="L405" s="60" t="s">
        <v>9</v>
      </c>
      <c r="M405" s="70" t="n">
        <v>6</v>
      </c>
      <c r="N405" s="71" t="s">
        <v>3473</v>
      </c>
      <c r="O405" s="51" t="s">
        <v>95</v>
      </c>
      <c r="P405" s="54"/>
      <c r="Q405" s="54" t="s">
        <v>131</v>
      </c>
      <c r="R405" s="58" t="s">
        <v>132</v>
      </c>
      <c r="S405" s="54" t="s">
        <v>98</v>
      </c>
    </row>
    <row r="406" customFormat="false" ht="35.05" hidden="false" customHeight="false" outlineLevel="0" collapsed="false">
      <c r="A406" s="51" t="s">
        <v>3778</v>
      </c>
      <c r="B406" s="51" t="n">
        <v>402</v>
      </c>
      <c r="C406" s="52" t="s">
        <v>3779</v>
      </c>
      <c r="D406" s="53" t="s">
        <v>3780</v>
      </c>
      <c r="E406" s="54" t="s">
        <v>3781</v>
      </c>
      <c r="F406" s="54" t="s">
        <v>176</v>
      </c>
      <c r="G406" s="54" t="s">
        <v>3782</v>
      </c>
      <c r="H406" s="54" t="s">
        <v>3783</v>
      </c>
      <c r="I406" s="53" t="s">
        <v>3784</v>
      </c>
      <c r="J406" s="54" t="s">
        <v>3785</v>
      </c>
      <c r="K406" s="53" t="s">
        <v>3786</v>
      </c>
      <c r="L406" s="60" t="s">
        <v>9</v>
      </c>
      <c r="M406" s="70" t="n">
        <v>6</v>
      </c>
      <c r="N406" s="71" t="s">
        <v>3473</v>
      </c>
      <c r="O406" s="51" t="s">
        <v>95</v>
      </c>
      <c r="P406" s="54"/>
      <c r="Q406" s="54" t="s">
        <v>131</v>
      </c>
      <c r="R406" s="58" t="s">
        <v>132</v>
      </c>
      <c r="S406" s="54" t="s">
        <v>98</v>
      </c>
    </row>
    <row r="407" customFormat="false" ht="35.05" hidden="false" customHeight="false" outlineLevel="0" collapsed="false">
      <c r="A407" s="51" t="s">
        <v>3787</v>
      </c>
      <c r="B407" s="51" t="n">
        <v>403</v>
      </c>
      <c r="C407" s="52" t="s">
        <v>3788</v>
      </c>
      <c r="D407" s="53" t="s">
        <v>3789</v>
      </c>
      <c r="E407" s="54" t="s">
        <v>3790</v>
      </c>
      <c r="F407" s="54" t="s">
        <v>3487</v>
      </c>
      <c r="G407" s="54" t="s">
        <v>3791</v>
      </c>
      <c r="H407" s="54" t="s">
        <v>3792</v>
      </c>
      <c r="I407" s="53" t="s">
        <v>3793</v>
      </c>
      <c r="J407" s="54" t="s">
        <v>3794</v>
      </c>
      <c r="K407" s="53" t="s">
        <v>3795</v>
      </c>
      <c r="L407" s="60" t="s">
        <v>9</v>
      </c>
      <c r="M407" s="70" t="n">
        <v>6</v>
      </c>
      <c r="N407" s="71" t="s">
        <v>3473</v>
      </c>
      <c r="O407" s="51" t="s">
        <v>95</v>
      </c>
      <c r="P407" s="54"/>
      <c r="Q407" s="54" t="s">
        <v>131</v>
      </c>
      <c r="R407" s="58" t="s">
        <v>132</v>
      </c>
      <c r="S407" s="54" t="s">
        <v>98</v>
      </c>
    </row>
    <row r="408" customFormat="false" ht="35.05" hidden="false" customHeight="false" outlineLevel="0" collapsed="false">
      <c r="A408" s="51" t="s">
        <v>3796</v>
      </c>
      <c r="B408" s="51" t="n">
        <v>404</v>
      </c>
      <c r="C408" s="52" t="s">
        <v>3797</v>
      </c>
      <c r="D408" s="53" t="s">
        <v>3798</v>
      </c>
      <c r="E408" s="54" t="s">
        <v>3799</v>
      </c>
      <c r="F408" s="54" t="s">
        <v>3034</v>
      </c>
      <c r="G408" s="54" t="s">
        <v>3800</v>
      </c>
      <c r="H408" s="54" t="s">
        <v>3801</v>
      </c>
      <c r="I408" s="53" t="s">
        <v>3802</v>
      </c>
      <c r="J408" s="54" t="s">
        <v>3803</v>
      </c>
      <c r="K408" s="53" t="s">
        <v>3804</v>
      </c>
      <c r="L408" s="60" t="s">
        <v>9</v>
      </c>
      <c r="M408" s="70" t="n">
        <v>6</v>
      </c>
      <c r="N408" s="71" t="s">
        <v>3473</v>
      </c>
      <c r="O408" s="51" t="s">
        <v>95</v>
      </c>
      <c r="P408" s="54"/>
      <c r="Q408" s="54" t="s">
        <v>131</v>
      </c>
      <c r="R408" s="58" t="s">
        <v>132</v>
      </c>
      <c r="S408" s="54" t="s">
        <v>98</v>
      </c>
    </row>
    <row r="409" customFormat="false" ht="35.05" hidden="false" customHeight="false" outlineLevel="0" collapsed="false">
      <c r="A409" s="51" t="s">
        <v>3805</v>
      </c>
      <c r="B409" s="51" t="n">
        <v>405</v>
      </c>
      <c r="C409" s="52" t="s">
        <v>3806</v>
      </c>
      <c r="D409" s="53" t="s">
        <v>3807</v>
      </c>
      <c r="E409" s="54" t="s">
        <v>3808</v>
      </c>
      <c r="F409" s="54" t="s">
        <v>614</v>
      </c>
      <c r="G409" s="54" t="s">
        <v>3809</v>
      </c>
      <c r="H409" s="54" t="s">
        <v>3810</v>
      </c>
      <c r="I409" s="53" t="s">
        <v>3811</v>
      </c>
      <c r="J409" s="54" t="s">
        <v>3812</v>
      </c>
      <c r="K409" s="53" t="s">
        <v>3813</v>
      </c>
      <c r="L409" s="60" t="s">
        <v>9</v>
      </c>
      <c r="M409" s="70" t="n">
        <v>6</v>
      </c>
      <c r="N409" s="71" t="s">
        <v>3473</v>
      </c>
      <c r="O409" s="51" t="s">
        <v>95</v>
      </c>
      <c r="P409" s="54"/>
      <c r="Q409" s="54" t="s">
        <v>131</v>
      </c>
      <c r="R409" s="58" t="s">
        <v>132</v>
      </c>
      <c r="S409" s="54" t="s">
        <v>98</v>
      </c>
    </row>
    <row r="410" customFormat="false" ht="35.05" hidden="false" customHeight="false" outlineLevel="0" collapsed="false">
      <c r="A410" s="51" t="s">
        <v>3814</v>
      </c>
      <c r="B410" s="51" t="n">
        <v>406</v>
      </c>
      <c r="C410" s="52" t="s">
        <v>3815</v>
      </c>
      <c r="D410" s="53" t="s">
        <v>3816</v>
      </c>
      <c r="E410" s="54" t="s">
        <v>3817</v>
      </c>
      <c r="F410" s="54" t="s">
        <v>614</v>
      </c>
      <c r="G410" s="54" t="s">
        <v>3818</v>
      </c>
      <c r="H410" s="54" t="s">
        <v>3819</v>
      </c>
      <c r="I410" s="53" t="s">
        <v>3820</v>
      </c>
      <c r="J410" s="54" t="s">
        <v>3821</v>
      </c>
      <c r="K410" s="53" t="s">
        <v>3822</v>
      </c>
      <c r="L410" s="60" t="s">
        <v>9</v>
      </c>
      <c r="M410" s="70" t="n">
        <v>6</v>
      </c>
      <c r="N410" s="71" t="s">
        <v>3473</v>
      </c>
      <c r="O410" s="59" t="s">
        <v>161</v>
      </c>
      <c r="P410" s="54" t="s">
        <v>620</v>
      </c>
      <c r="Q410" s="54" t="s">
        <v>131</v>
      </c>
      <c r="R410" s="58" t="s">
        <v>132</v>
      </c>
      <c r="S410" s="54" t="s">
        <v>98</v>
      </c>
    </row>
    <row r="411" customFormat="false" ht="35.05" hidden="false" customHeight="false" outlineLevel="0" collapsed="false">
      <c r="A411" s="51" t="s">
        <v>3823</v>
      </c>
      <c r="B411" s="51" t="n">
        <v>407</v>
      </c>
      <c r="C411" s="52" t="s">
        <v>3824</v>
      </c>
      <c r="D411" s="53" t="s">
        <v>3825</v>
      </c>
      <c r="E411" s="54" t="s">
        <v>3826</v>
      </c>
      <c r="F411" s="54" t="s">
        <v>3487</v>
      </c>
      <c r="G411" s="54" t="s">
        <v>3827</v>
      </c>
      <c r="H411" s="54" t="s">
        <v>3828</v>
      </c>
      <c r="I411" s="53" t="s">
        <v>3829</v>
      </c>
      <c r="J411" s="54" t="s">
        <v>3830</v>
      </c>
      <c r="K411" s="53" t="s">
        <v>3831</v>
      </c>
      <c r="L411" s="61" t="s">
        <v>10</v>
      </c>
      <c r="M411" s="70" t="n">
        <v>6</v>
      </c>
      <c r="N411" s="71" t="s">
        <v>3473</v>
      </c>
      <c r="O411" s="51" t="s">
        <v>95</v>
      </c>
      <c r="P411" s="54"/>
      <c r="Q411" s="54" t="s">
        <v>131</v>
      </c>
      <c r="R411" s="58" t="s">
        <v>132</v>
      </c>
      <c r="S411" s="54" t="s">
        <v>98</v>
      </c>
    </row>
    <row r="412" customFormat="false" ht="35.05" hidden="false" customHeight="false" outlineLevel="0" collapsed="false">
      <c r="A412" s="51" t="s">
        <v>3832</v>
      </c>
      <c r="B412" s="51" t="n">
        <v>408</v>
      </c>
      <c r="C412" s="52" t="s">
        <v>3833</v>
      </c>
      <c r="D412" s="53" t="s">
        <v>3834</v>
      </c>
      <c r="E412" s="54" t="s">
        <v>3835</v>
      </c>
      <c r="F412" s="54" t="s">
        <v>3487</v>
      </c>
      <c r="G412" s="54" t="s">
        <v>3836</v>
      </c>
      <c r="H412" s="54" t="s">
        <v>3837</v>
      </c>
      <c r="I412" s="53" t="s">
        <v>3838</v>
      </c>
      <c r="J412" s="54" t="s">
        <v>3839</v>
      </c>
      <c r="K412" s="53" t="s">
        <v>3840</v>
      </c>
      <c r="L412" s="61" t="s">
        <v>10</v>
      </c>
      <c r="M412" s="70" t="n">
        <v>6</v>
      </c>
      <c r="N412" s="71" t="s">
        <v>3473</v>
      </c>
      <c r="O412" s="51" t="s">
        <v>95</v>
      </c>
      <c r="P412" s="54"/>
      <c r="Q412" s="54" t="s">
        <v>131</v>
      </c>
      <c r="R412" s="58" t="s">
        <v>132</v>
      </c>
      <c r="S412" s="54" t="s">
        <v>98</v>
      </c>
    </row>
    <row r="413" customFormat="false" ht="35.05" hidden="false" customHeight="false" outlineLevel="0" collapsed="false">
      <c r="A413" s="51" t="s">
        <v>3841</v>
      </c>
      <c r="B413" s="51" t="n">
        <v>409</v>
      </c>
      <c r="C413" s="52" t="s">
        <v>3842</v>
      </c>
      <c r="D413" s="53" t="s">
        <v>3843</v>
      </c>
      <c r="E413" s="54" t="s">
        <v>3844</v>
      </c>
      <c r="F413" s="54" t="s">
        <v>261</v>
      </c>
      <c r="G413" s="54" t="s">
        <v>3845</v>
      </c>
      <c r="H413" s="54" t="s">
        <v>3846</v>
      </c>
      <c r="I413" s="53" t="s">
        <v>3847</v>
      </c>
      <c r="J413" s="54" t="s">
        <v>3848</v>
      </c>
      <c r="K413" s="53" t="s">
        <v>3849</v>
      </c>
      <c r="L413" s="61" t="s">
        <v>10</v>
      </c>
      <c r="M413" s="70" t="n">
        <v>6</v>
      </c>
      <c r="N413" s="71" t="s">
        <v>3473</v>
      </c>
      <c r="O413" s="51" t="s">
        <v>95</v>
      </c>
      <c r="P413" s="54"/>
      <c r="Q413" s="54" t="s">
        <v>131</v>
      </c>
      <c r="R413" s="58" t="s">
        <v>132</v>
      </c>
      <c r="S413" s="54" t="s">
        <v>98</v>
      </c>
    </row>
    <row r="414" customFormat="false" ht="35.05" hidden="false" customHeight="false" outlineLevel="0" collapsed="false">
      <c r="A414" s="51" t="s">
        <v>3850</v>
      </c>
      <c r="B414" s="51" t="n">
        <v>410</v>
      </c>
      <c r="C414" s="52" t="s">
        <v>3851</v>
      </c>
      <c r="D414" s="53" t="s">
        <v>3852</v>
      </c>
      <c r="E414" s="54" t="s">
        <v>3853</v>
      </c>
      <c r="F414" s="54" t="s">
        <v>3487</v>
      </c>
      <c r="G414" s="54" t="s">
        <v>3854</v>
      </c>
      <c r="H414" s="54" t="s">
        <v>3855</v>
      </c>
      <c r="I414" s="53" t="s">
        <v>3856</v>
      </c>
      <c r="J414" s="54" t="s">
        <v>3857</v>
      </c>
      <c r="K414" s="53" t="s">
        <v>3858</v>
      </c>
      <c r="L414" s="61" t="s">
        <v>10</v>
      </c>
      <c r="M414" s="70" t="n">
        <v>6</v>
      </c>
      <c r="N414" s="71" t="s">
        <v>3473</v>
      </c>
      <c r="O414" s="51" t="s">
        <v>95</v>
      </c>
      <c r="P414" s="54"/>
      <c r="Q414" s="54" t="s">
        <v>131</v>
      </c>
      <c r="R414" s="58" t="s">
        <v>132</v>
      </c>
      <c r="S414" s="54" t="s">
        <v>98</v>
      </c>
    </row>
    <row r="415" customFormat="false" ht="35.05" hidden="false" customHeight="false" outlineLevel="0" collapsed="false">
      <c r="A415" s="51" t="s">
        <v>3859</v>
      </c>
      <c r="B415" s="51" t="n">
        <v>411</v>
      </c>
      <c r="C415" s="52" t="s">
        <v>3860</v>
      </c>
      <c r="D415" s="53" t="s">
        <v>3861</v>
      </c>
      <c r="E415" s="54" t="s">
        <v>3862</v>
      </c>
      <c r="F415" s="54" t="s">
        <v>3487</v>
      </c>
      <c r="G415" s="54" t="s">
        <v>3863</v>
      </c>
      <c r="H415" s="54" t="s">
        <v>3864</v>
      </c>
      <c r="I415" s="53" t="s">
        <v>3865</v>
      </c>
      <c r="J415" s="54" t="s">
        <v>3866</v>
      </c>
      <c r="K415" s="53" t="s">
        <v>3867</v>
      </c>
      <c r="L415" s="61" t="s">
        <v>10</v>
      </c>
      <c r="M415" s="70" t="n">
        <v>6</v>
      </c>
      <c r="N415" s="71" t="s">
        <v>3473</v>
      </c>
      <c r="O415" s="51" t="s">
        <v>95</v>
      </c>
      <c r="P415" s="54"/>
      <c r="Q415" s="54" t="s">
        <v>131</v>
      </c>
      <c r="R415" s="58" t="s">
        <v>132</v>
      </c>
      <c r="S415" s="54" t="s">
        <v>98</v>
      </c>
    </row>
    <row r="416" customFormat="false" ht="35.05" hidden="false" customHeight="false" outlineLevel="0" collapsed="false">
      <c r="A416" s="51" t="s">
        <v>3868</v>
      </c>
      <c r="B416" s="51" t="n">
        <v>412</v>
      </c>
      <c r="C416" s="52" t="s">
        <v>3869</v>
      </c>
      <c r="D416" s="53" t="s">
        <v>3870</v>
      </c>
      <c r="E416" s="54" t="s">
        <v>3871</v>
      </c>
      <c r="F416" s="54" t="s">
        <v>3487</v>
      </c>
      <c r="G416" s="54" t="s">
        <v>3872</v>
      </c>
      <c r="H416" s="54" t="s">
        <v>3873</v>
      </c>
      <c r="I416" s="53" t="s">
        <v>3874</v>
      </c>
      <c r="J416" s="54" t="s">
        <v>3875</v>
      </c>
      <c r="K416" s="53" t="s">
        <v>3876</v>
      </c>
      <c r="L416" s="61" t="s">
        <v>10</v>
      </c>
      <c r="M416" s="70" t="n">
        <v>6</v>
      </c>
      <c r="N416" s="71" t="s">
        <v>3473</v>
      </c>
      <c r="O416" s="51" t="s">
        <v>95</v>
      </c>
      <c r="P416" s="54"/>
      <c r="Q416" s="54" t="s">
        <v>131</v>
      </c>
      <c r="R416" s="58" t="s">
        <v>132</v>
      </c>
      <c r="S416" s="54" t="s">
        <v>98</v>
      </c>
    </row>
    <row r="417" customFormat="false" ht="35.05" hidden="false" customHeight="false" outlineLevel="0" collapsed="false">
      <c r="A417" s="51" t="s">
        <v>3877</v>
      </c>
      <c r="B417" s="51" t="n">
        <v>413</v>
      </c>
      <c r="C417" s="52" t="s">
        <v>3878</v>
      </c>
      <c r="D417" s="53" t="s">
        <v>3879</v>
      </c>
      <c r="E417" s="54" t="s">
        <v>3880</v>
      </c>
      <c r="F417" s="54" t="s">
        <v>3487</v>
      </c>
      <c r="G417" s="54" t="s">
        <v>3881</v>
      </c>
      <c r="H417" s="54" t="s">
        <v>3882</v>
      </c>
      <c r="I417" s="53" t="s">
        <v>3883</v>
      </c>
      <c r="J417" s="54" t="s">
        <v>3884</v>
      </c>
      <c r="K417" s="53" t="s">
        <v>3885</v>
      </c>
      <c r="L417" s="61" t="s">
        <v>10</v>
      </c>
      <c r="M417" s="70" t="n">
        <v>6</v>
      </c>
      <c r="N417" s="71" t="s">
        <v>3473</v>
      </c>
      <c r="O417" s="51" t="s">
        <v>95</v>
      </c>
      <c r="P417" s="54"/>
      <c r="Q417" s="54" t="s">
        <v>131</v>
      </c>
      <c r="R417" s="58" t="s">
        <v>132</v>
      </c>
      <c r="S417" s="54" t="s">
        <v>98</v>
      </c>
    </row>
    <row r="418" customFormat="false" ht="35.05" hidden="false" customHeight="false" outlineLevel="0" collapsed="false">
      <c r="A418" s="51" t="s">
        <v>3886</v>
      </c>
      <c r="B418" s="51" t="n">
        <v>414</v>
      </c>
      <c r="C418" s="52" t="s">
        <v>3887</v>
      </c>
      <c r="D418" s="53" t="s">
        <v>3888</v>
      </c>
      <c r="E418" s="54" t="s">
        <v>3889</v>
      </c>
      <c r="F418" s="54" t="s">
        <v>261</v>
      </c>
      <c r="G418" s="54" t="s">
        <v>3890</v>
      </c>
      <c r="H418" s="54" t="s">
        <v>3891</v>
      </c>
      <c r="I418" s="53" t="s">
        <v>3892</v>
      </c>
      <c r="J418" s="54" t="s">
        <v>3893</v>
      </c>
      <c r="K418" s="53" t="s">
        <v>3894</v>
      </c>
      <c r="L418" s="61" t="s">
        <v>10</v>
      </c>
      <c r="M418" s="70" t="n">
        <v>6</v>
      </c>
      <c r="N418" s="71" t="s">
        <v>3473</v>
      </c>
      <c r="O418" s="51" t="s">
        <v>95</v>
      </c>
      <c r="P418" s="54"/>
      <c r="Q418" s="54" t="s">
        <v>131</v>
      </c>
      <c r="R418" s="58" t="s">
        <v>132</v>
      </c>
      <c r="S418" s="54" t="s">
        <v>98</v>
      </c>
    </row>
    <row r="419" customFormat="false" ht="35.05" hidden="false" customHeight="false" outlineLevel="0" collapsed="false">
      <c r="A419" s="51" t="s">
        <v>3895</v>
      </c>
      <c r="B419" s="51" t="n">
        <v>415</v>
      </c>
      <c r="C419" s="52" t="s">
        <v>3896</v>
      </c>
      <c r="D419" s="53" t="s">
        <v>3897</v>
      </c>
      <c r="E419" s="54" t="s">
        <v>3898</v>
      </c>
      <c r="F419" s="54" t="s">
        <v>3487</v>
      </c>
      <c r="G419" s="54" t="s">
        <v>3899</v>
      </c>
      <c r="H419" s="54" t="s">
        <v>3900</v>
      </c>
      <c r="I419" s="53" t="s">
        <v>3901</v>
      </c>
      <c r="J419" s="54" t="s">
        <v>3902</v>
      </c>
      <c r="K419" s="53" t="s">
        <v>3903</v>
      </c>
      <c r="L419" s="61" t="s">
        <v>10</v>
      </c>
      <c r="M419" s="70" t="n">
        <v>6</v>
      </c>
      <c r="N419" s="71" t="s">
        <v>3473</v>
      </c>
      <c r="O419" s="59" t="s">
        <v>161</v>
      </c>
      <c r="P419" s="54" t="s">
        <v>620</v>
      </c>
      <c r="Q419" s="54" t="s">
        <v>131</v>
      </c>
      <c r="R419" s="58" t="s">
        <v>132</v>
      </c>
      <c r="S419" s="54" t="s">
        <v>98</v>
      </c>
    </row>
    <row r="420" customFormat="false" ht="35.05" hidden="false" customHeight="false" outlineLevel="0" collapsed="false">
      <c r="A420" s="51" t="s">
        <v>3904</v>
      </c>
      <c r="B420" s="51" t="n">
        <v>416</v>
      </c>
      <c r="C420" s="52" t="s">
        <v>3905</v>
      </c>
      <c r="D420" s="53" t="s">
        <v>3906</v>
      </c>
      <c r="E420" s="54" t="s">
        <v>3907</v>
      </c>
      <c r="F420" s="54" t="s">
        <v>3034</v>
      </c>
      <c r="G420" s="54" t="s">
        <v>3908</v>
      </c>
      <c r="H420" s="54" t="s">
        <v>3909</v>
      </c>
      <c r="I420" s="53" t="s">
        <v>3910</v>
      </c>
      <c r="J420" s="54" t="s">
        <v>3911</v>
      </c>
      <c r="K420" s="53" t="s">
        <v>3912</v>
      </c>
      <c r="L420" s="61" t="s">
        <v>10</v>
      </c>
      <c r="M420" s="70" t="n">
        <v>6</v>
      </c>
      <c r="N420" s="71" t="s">
        <v>3473</v>
      </c>
      <c r="O420" s="51" t="s">
        <v>95</v>
      </c>
      <c r="P420" s="54"/>
      <c r="Q420" s="54" t="s">
        <v>131</v>
      </c>
      <c r="R420" s="58" t="s">
        <v>132</v>
      </c>
      <c r="S420" s="54" t="s">
        <v>98</v>
      </c>
    </row>
    <row r="421" customFormat="false" ht="35.05" hidden="false" customHeight="false" outlineLevel="0" collapsed="false">
      <c r="A421" s="51" t="s">
        <v>3913</v>
      </c>
      <c r="B421" s="51" t="n">
        <v>417</v>
      </c>
      <c r="C421" s="52" t="s">
        <v>3914</v>
      </c>
      <c r="D421" s="53" t="s">
        <v>3915</v>
      </c>
      <c r="E421" s="54" t="s">
        <v>3916</v>
      </c>
      <c r="F421" s="54" t="s">
        <v>3917</v>
      </c>
      <c r="G421" s="54" t="s">
        <v>3918</v>
      </c>
      <c r="H421" s="54" t="s">
        <v>3919</v>
      </c>
      <c r="I421" s="53" t="s">
        <v>3920</v>
      </c>
      <c r="J421" s="54" t="s">
        <v>3921</v>
      </c>
      <c r="K421" s="53" t="s">
        <v>3922</v>
      </c>
      <c r="L421" s="55" t="s">
        <v>8</v>
      </c>
      <c r="M421" s="72" t="n">
        <v>7</v>
      </c>
      <c r="N421" s="73" t="s">
        <v>3923</v>
      </c>
      <c r="O421" s="59" t="s">
        <v>161</v>
      </c>
      <c r="P421" s="54" t="s">
        <v>3924</v>
      </c>
      <c r="Q421" s="54" t="s">
        <v>131</v>
      </c>
      <c r="R421" s="58" t="s">
        <v>132</v>
      </c>
      <c r="S421" s="54" t="s">
        <v>98</v>
      </c>
    </row>
    <row r="422" customFormat="false" ht="35.05" hidden="false" customHeight="false" outlineLevel="0" collapsed="false">
      <c r="A422" s="51" t="s">
        <v>3925</v>
      </c>
      <c r="B422" s="51" t="n">
        <v>418</v>
      </c>
      <c r="C422" s="52" t="s">
        <v>3926</v>
      </c>
      <c r="D422" s="53" t="s">
        <v>3927</v>
      </c>
      <c r="E422" s="54" t="s">
        <v>3928</v>
      </c>
      <c r="F422" s="54" t="s">
        <v>3929</v>
      </c>
      <c r="G422" s="54" t="s">
        <v>3930</v>
      </c>
      <c r="H422" s="54" t="s">
        <v>3931</v>
      </c>
      <c r="I422" s="53" t="s">
        <v>3932</v>
      </c>
      <c r="J422" s="54" t="s">
        <v>3933</v>
      </c>
      <c r="K422" s="53" t="s">
        <v>3934</v>
      </c>
      <c r="L422" s="55" t="s">
        <v>8</v>
      </c>
      <c r="M422" s="72" t="n">
        <v>7</v>
      </c>
      <c r="N422" s="73" t="s">
        <v>3923</v>
      </c>
      <c r="O422" s="59" t="s">
        <v>161</v>
      </c>
      <c r="P422" s="54" t="s">
        <v>554</v>
      </c>
      <c r="Q422" s="54" t="s">
        <v>131</v>
      </c>
      <c r="R422" s="58" t="s">
        <v>132</v>
      </c>
      <c r="S422" s="54" t="s">
        <v>98</v>
      </c>
    </row>
    <row r="423" customFormat="false" ht="35.05" hidden="false" customHeight="false" outlineLevel="0" collapsed="false">
      <c r="A423" s="51" t="s">
        <v>3935</v>
      </c>
      <c r="B423" s="51" t="n">
        <v>419</v>
      </c>
      <c r="C423" s="52" t="s">
        <v>3917</v>
      </c>
      <c r="D423" s="53" t="s">
        <v>3936</v>
      </c>
      <c r="E423" s="54" t="s">
        <v>3937</v>
      </c>
      <c r="F423" s="54" t="s">
        <v>3917</v>
      </c>
      <c r="G423" s="54" t="s">
        <v>3938</v>
      </c>
      <c r="H423" s="54" t="s">
        <v>3939</v>
      </c>
      <c r="I423" s="53" t="s">
        <v>3940</v>
      </c>
      <c r="J423" s="54" t="s">
        <v>3941</v>
      </c>
      <c r="K423" s="53" t="s">
        <v>3942</v>
      </c>
      <c r="L423" s="55" t="s">
        <v>8</v>
      </c>
      <c r="M423" s="72" t="n">
        <v>7</v>
      </c>
      <c r="N423" s="73" t="s">
        <v>3923</v>
      </c>
      <c r="O423" s="59" t="s">
        <v>161</v>
      </c>
      <c r="P423" s="54" t="s">
        <v>3943</v>
      </c>
      <c r="Q423" s="54" t="s">
        <v>131</v>
      </c>
      <c r="R423" s="58" t="s">
        <v>132</v>
      </c>
      <c r="S423" s="54" t="s">
        <v>98</v>
      </c>
    </row>
    <row r="424" customFormat="false" ht="35.05" hidden="false" customHeight="false" outlineLevel="0" collapsed="false">
      <c r="A424" s="51" t="s">
        <v>3944</v>
      </c>
      <c r="B424" s="51" t="n">
        <v>420</v>
      </c>
      <c r="C424" s="52" t="s">
        <v>3945</v>
      </c>
      <c r="D424" s="53" t="s">
        <v>3946</v>
      </c>
      <c r="E424" s="54" t="s">
        <v>3947</v>
      </c>
      <c r="F424" s="54" t="s">
        <v>3132</v>
      </c>
      <c r="G424" s="54" t="s">
        <v>3948</v>
      </c>
      <c r="H424" s="54" t="s">
        <v>3949</v>
      </c>
      <c r="I424" s="53" t="s">
        <v>3950</v>
      </c>
      <c r="J424" s="54" t="s">
        <v>3951</v>
      </c>
      <c r="K424" s="53" t="s">
        <v>3952</v>
      </c>
      <c r="L424" s="55" t="s">
        <v>8</v>
      </c>
      <c r="M424" s="72" t="n">
        <v>7</v>
      </c>
      <c r="N424" s="73" t="s">
        <v>3923</v>
      </c>
      <c r="O424" s="59" t="s">
        <v>161</v>
      </c>
      <c r="P424" s="54"/>
      <c r="Q424" s="54" t="s">
        <v>131</v>
      </c>
      <c r="R424" s="58" t="s">
        <v>132</v>
      </c>
      <c r="S424" s="54" t="s">
        <v>98</v>
      </c>
    </row>
    <row r="425" customFormat="false" ht="35.05" hidden="false" customHeight="false" outlineLevel="0" collapsed="false">
      <c r="A425" s="51" t="s">
        <v>3953</v>
      </c>
      <c r="B425" s="51" t="n">
        <v>421</v>
      </c>
      <c r="C425" s="52" t="s">
        <v>3954</v>
      </c>
      <c r="D425" s="53" t="s">
        <v>3955</v>
      </c>
      <c r="E425" s="54" t="s">
        <v>3956</v>
      </c>
      <c r="F425" s="54" t="s">
        <v>3917</v>
      </c>
      <c r="G425" s="54" t="s">
        <v>3957</v>
      </c>
      <c r="H425" s="54" t="s">
        <v>3958</v>
      </c>
      <c r="I425" s="53" t="s">
        <v>3959</v>
      </c>
      <c r="J425" s="54" t="s">
        <v>3960</v>
      </c>
      <c r="K425" s="53" t="s">
        <v>3961</v>
      </c>
      <c r="L425" s="55" t="s">
        <v>8</v>
      </c>
      <c r="M425" s="72" t="n">
        <v>7</v>
      </c>
      <c r="N425" s="73" t="s">
        <v>3923</v>
      </c>
      <c r="O425" s="59" t="s">
        <v>161</v>
      </c>
      <c r="P425" s="54" t="s">
        <v>3962</v>
      </c>
      <c r="Q425" s="54" t="s">
        <v>131</v>
      </c>
      <c r="R425" s="58" t="s">
        <v>132</v>
      </c>
      <c r="S425" s="54" t="s">
        <v>98</v>
      </c>
    </row>
    <row r="426" customFormat="false" ht="35.05" hidden="false" customHeight="false" outlineLevel="0" collapsed="false">
      <c r="A426" s="51" t="s">
        <v>3963</v>
      </c>
      <c r="B426" s="51" t="n">
        <v>422</v>
      </c>
      <c r="C426" s="52" t="s">
        <v>3964</v>
      </c>
      <c r="D426" s="53" t="s">
        <v>3965</v>
      </c>
      <c r="E426" s="54" t="s">
        <v>3966</v>
      </c>
      <c r="F426" s="54" t="s">
        <v>3917</v>
      </c>
      <c r="G426" s="54" t="s">
        <v>3967</v>
      </c>
      <c r="H426" s="54" t="s">
        <v>3968</v>
      </c>
      <c r="I426" s="53" t="s">
        <v>3969</v>
      </c>
      <c r="J426" s="54" t="s">
        <v>3970</v>
      </c>
      <c r="K426" s="53" t="s">
        <v>3971</v>
      </c>
      <c r="L426" s="55" t="s">
        <v>8</v>
      </c>
      <c r="M426" s="72" t="n">
        <v>7</v>
      </c>
      <c r="N426" s="73" t="s">
        <v>3923</v>
      </c>
      <c r="O426" s="51" t="s">
        <v>95</v>
      </c>
      <c r="P426" s="54"/>
      <c r="Q426" s="54" t="s">
        <v>131</v>
      </c>
      <c r="R426" s="58" t="s">
        <v>132</v>
      </c>
      <c r="S426" s="54" t="s">
        <v>98</v>
      </c>
    </row>
    <row r="427" customFormat="false" ht="35.05" hidden="false" customHeight="false" outlineLevel="0" collapsed="false">
      <c r="A427" s="51" t="s">
        <v>3972</v>
      </c>
      <c r="B427" s="51" t="n">
        <v>423</v>
      </c>
      <c r="C427" s="52" t="s">
        <v>3973</v>
      </c>
      <c r="D427" s="53" t="s">
        <v>3974</v>
      </c>
      <c r="E427" s="54" t="s">
        <v>3975</v>
      </c>
      <c r="F427" s="54" t="s">
        <v>3917</v>
      </c>
      <c r="G427" s="54" t="s">
        <v>3976</v>
      </c>
      <c r="H427" s="54" t="s">
        <v>3977</v>
      </c>
      <c r="I427" s="53" t="s">
        <v>3978</v>
      </c>
      <c r="J427" s="54" t="s">
        <v>3979</v>
      </c>
      <c r="K427" s="53" t="s">
        <v>3980</v>
      </c>
      <c r="L427" s="55" t="s">
        <v>8</v>
      </c>
      <c r="M427" s="72" t="n">
        <v>7</v>
      </c>
      <c r="N427" s="73" t="s">
        <v>3923</v>
      </c>
      <c r="O427" s="59" t="s">
        <v>161</v>
      </c>
      <c r="P427" s="54" t="s">
        <v>3924</v>
      </c>
      <c r="Q427" s="54" t="s">
        <v>131</v>
      </c>
      <c r="R427" s="58" t="s">
        <v>132</v>
      </c>
      <c r="S427" s="54" t="s">
        <v>98</v>
      </c>
    </row>
    <row r="428" customFormat="false" ht="35.05" hidden="false" customHeight="false" outlineLevel="0" collapsed="false">
      <c r="A428" s="51" t="s">
        <v>3981</v>
      </c>
      <c r="B428" s="51" t="n">
        <v>424</v>
      </c>
      <c r="C428" s="52" t="s">
        <v>3982</v>
      </c>
      <c r="D428" s="53" t="s">
        <v>3983</v>
      </c>
      <c r="E428" s="54" t="s">
        <v>3984</v>
      </c>
      <c r="F428" s="54" t="s">
        <v>125</v>
      </c>
      <c r="G428" s="54" t="s">
        <v>3985</v>
      </c>
      <c r="H428" s="54" t="s">
        <v>3986</v>
      </c>
      <c r="I428" s="53" t="s">
        <v>3987</v>
      </c>
      <c r="J428" s="54" t="s">
        <v>3988</v>
      </c>
      <c r="K428" s="53" t="s">
        <v>3989</v>
      </c>
      <c r="L428" s="60" t="s">
        <v>9</v>
      </c>
      <c r="M428" s="72" t="n">
        <v>7</v>
      </c>
      <c r="N428" s="73" t="s">
        <v>3923</v>
      </c>
      <c r="O428" s="59" t="s">
        <v>161</v>
      </c>
      <c r="P428" s="54" t="s">
        <v>3990</v>
      </c>
      <c r="Q428" s="54" t="s">
        <v>516</v>
      </c>
      <c r="R428" s="58" t="s">
        <v>517</v>
      </c>
      <c r="S428" s="54" t="s">
        <v>98</v>
      </c>
    </row>
    <row r="429" customFormat="false" ht="35.05" hidden="false" customHeight="false" outlineLevel="0" collapsed="false">
      <c r="A429" s="51" t="s">
        <v>3991</v>
      </c>
      <c r="B429" s="51" t="n">
        <v>425</v>
      </c>
      <c r="C429" s="52" t="s">
        <v>3992</v>
      </c>
      <c r="D429" s="53" t="s">
        <v>3993</v>
      </c>
      <c r="E429" s="54" t="s">
        <v>3994</v>
      </c>
      <c r="F429" s="54" t="s">
        <v>3917</v>
      </c>
      <c r="G429" s="54" t="s">
        <v>3995</v>
      </c>
      <c r="H429" s="54" t="s">
        <v>3996</v>
      </c>
      <c r="I429" s="53" t="s">
        <v>3997</v>
      </c>
      <c r="J429" s="54" t="s">
        <v>3998</v>
      </c>
      <c r="K429" s="53" t="s">
        <v>3999</v>
      </c>
      <c r="L429" s="60" t="s">
        <v>9</v>
      </c>
      <c r="M429" s="72" t="n">
        <v>7</v>
      </c>
      <c r="N429" s="73" t="s">
        <v>3923</v>
      </c>
      <c r="O429" s="51" t="s">
        <v>95</v>
      </c>
      <c r="P429" s="54"/>
      <c r="Q429" s="54" t="s">
        <v>131</v>
      </c>
      <c r="R429" s="58" t="s">
        <v>132</v>
      </c>
      <c r="S429" s="54" t="s">
        <v>98</v>
      </c>
    </row>
    <row r="430" customFormat="false" ht="35.05" hidden="false" customHeight="false" outlineLevel="0" collapsed="false">
      <c r="A430" s="51" t="s">
        <v>4000</v>
      </c>
      <c r="B430" s="51" t="n">
        <v>426</v>
      </c>
      <c r="C430" s="52" t="s">
        <v>4001</v>
      </c>
      <c r="D430" s="53" t="s">
        <v>4002</v>
      </c>
      <c r="E430" s="54" t="s">
        <v>4003</v>
      </c>
      <c r="F430" s="54" t="s">
        <v>3917</v>
      </c>
      <c r="G430" s="54" t="s">
        <v>4004</v>
      </c>
      <c r="H430" s="54" t="s">
        <v>4005</v>
      </c>
      <c r="I430" s="53" t="s">
        <v>4006</v>
      </c>
      <c r="J430" s="54" t="s">
        <v>4007</v>
      </c>
      <c r="K430" s="53" t="s">
        <v>4008</v>
      </c>
      <c r="L430" s="60" t="s">
        <v>9</v>
      </c>
      <c r="M430" s="72" t="n">
        <v>7</v>
      </c>
      <c r="N430" s="73" t="s">
        <v>3923</v>
      </c>
      <c r="O430" s="51" t="s">
        <v>95</v>
      </c>
      <c r="P430" s="54"/>
      <c r="Q430" s="54" t="s">
        <v>131</v>
      </c>
      <c r="R430" s="58" t="s">
        <v>132</v>
      </c>
      <c r="S430" s="54" t="s">
        <v>98</v>
      </c>
    </row>
    <row r="431" customFormat="false" ht="35.05" hidden="false" customHeight="false" outlineLevel="0" collapsed="false">
      <c r="A431" s="51" t="s">
        <v>4009</v>
      </c>
      <c r="B431" s="51" t="n">
        <v>427</v>
      </c>
      <c r="C431" s="52" t="s">
        <v>4010</v>
      </c>
      <c r="D431" s="53" t="s">
        <v>4011</v>
      </c>
      <c r="E431" s="54" t="s">
        <v>4012</v>
      </c>
      <c r="F431" s="54" t="s">
        <v>3917</v>
      </c>
      <c r="G431" s="54" t="s">
        <v>4013</v>
      </c>
      <c r="H431" s="54" t="s">
        <v>4014</v>
      </c>
      <c r="I431" s="53" t="s">
        <v>4015</v>
      </c>
      <c r="J431" s="54" t="s">
        <v>4016</v>
      </c>
      <c r="K431" s="53" t="s">
        <v>4017</v>
      </c>
      <c r="L431" s="60" t="s">
        <v>9</v>
      </c>
      <c r="M431" s="72" t="n">
        <v>7</v>
      </c>
      <c r="N431" s="73" t="s">
        <v>3923</v>
      </c>
      <c r="O431" s="59" t="s">
        <v>161</v>
      </c>
      <c r="P431" s="54" t="s">
        <v>4018</v>
      </c>
      <c r="Q431" s="54" t="s">
        <v>131</v>
      </c>
      <c r="R431" s="58" t="s">
        <v>132</v>
      </c>
      <c r="S431" s="54" t="s">
        <v>98</v>
      </c>
    </row>
    <row r="432" customFormat="false" ht="35.05" hidden="false" customHeight="false" outlineLevel="0" collapsed="false">
      <c r="A432" s="51" t="s">
        <v>4019</v>
      </c>
      <c r="B432" s="51" t="n">
        <v>428</v>
      </c>
      <c r="C432" s="52" t="s">
        <v>4020</v>
      </c>
      <c r="D432" s="53" t="s">
        <v>4021</v>
      </c>
      <c r="E432" s="54" t="s">
        <v>4022</v>
      </c>
      <c r="F432" s="54" t="s">
        <v>176</v>
      </c>
      <c r="G432" s="54" t="s">
        <v>4023</v>
      </c>
      <c r="H432" s="54" t="s">
        <v>4024</v>
      </c>
      <c r="I432" s="53" t="s">
        <v>4025</v>
      </c>
      <c r="J432" s="54" t="s">
        <v>4026</v>
      </c>
      <c r="K432" s="53" t="s">
        <v>4027</v>
      </c>
      <c r="L432" s="60" t="s">
        <v>9</v>
      </c>
      <c r="M432" s="72" t="n">
        <v>7</v>
      </c>
      <c r="N432" s="73" t="s">
        <v>3923</v>
      </c>
      <c r="O432" s="51" t="s">
        <v>95</v>
      </c>
      <c r="P432" s="54"/>
      <c r="Q432" s="54" t="s">
        <v>131</v>
      </c>
      <c r="R432" s="58" t="s">
        <v>132</v>
      </c>
      <c r="S432" s="54" t="s">
        <v>98</v>
      </c>
    </row>
    <row r="433" customFormat="false" ht="35.05" hidden="false" customHeight="false" outlineLevel="0" collapsed="false">
      <c r="A433" s="51" t="s">
        <v>4028</v>
      </c>
      <c r="B433" s="51" t="n">
        <v>429</v>
      </c>
      <c r="C433" s="52" t="s">
        <v>4029</v>
      </c>
      <c r="D433" s="53" t="s">
        <v>4030</v>
      </c>
      <c r="E433" s="54" t="s">
        <v>4031</v>
      </c>
      <c r="F433" s="54" t="s">
        <v>3917</v>
      </c>
      <c r="G433" s="54" t="s">
        <v>4032</v>
      </c>
      <c r="H433" s="54" t="s">
        <v>4033</v>
      </c>
      <c r="I433" s="53" t="s">
        <v>4034</v>
      </c>
      <c r="J433" s="54" t="s">
        <v>4035</v>
      </c>
      <c r="K433" s="53" t="s">
        <v>4036</v>
      </c>
      <c r="L433" s="61" t="s">
        <v>10</v>
      </c>
      <c r="M433" s="72" t="n">
        <v>7</v>
      </c>
      <c r="N433" s="73" t="s">
        <v>3923</v>
      </c>
      <c r="O433" s="51" t="s">
        <v>95</v>
      </c>
      <c r="P433" s="54"/>
      <c r="Q433" s="54" t="s">
        <v>131</v>
      </c>
      <c r="R433" s="58" t="s">
        <v>132</v>
      </c>
      <c r="S433" s="54" t="s">
        <v>98</v>
      </c>
    </row>
    <row r="434" customFormat="false" ht="35.05" hidden="false" customHeight="false" outlineLevel="0" collapsed="false">
      <c r="A434" s="51" t="s">
        <v>4037</v>
      </c>
      <c r="B434" s="51" t="n">
        <v>430</v>
      </c>
      <c r="C434" s="52" t="s">
        <v>4038</v>
      </c>
      <c r="D434" s="53" t="s">
        <v>4039</v>
      </c>
      <c r="E434" s="54" t="s">
        <v>4040</v>
      </c>
      <c r="F434" s="54" t="s">
        <v>88</v>
      </c>
      <c r="G434" s="54" t="s">
        <v>4041</v>
      </c>
      <c r="H434" s="54" t="s">
        <v>4042</v>
      </c>
      <c r="I434" s="53" t="s">
        <v>4043</v>
      </c>
      <c r="J434" s="54" t="s">
        <v>4044</v>
      </c>
      <c r="K434" s="53" t="s">
        <v>4045</v>
      </c>
      <c r="L434" s="61" t="s">
        <v>10</v>
      </c>
      <c r="M434" s="72" t="n">
        <v>7</v>
      </c>
      <c r="N434" s="73" t="s">
        <v>3923</v>
      </c>
      <c r="O434" s="59" t="s">
        <v>161</v>
      </c>
      <c r="P434" s="54" t="s">
        <v>1235</v>
      </c>
      <c r="Q434" s="54" t="s">
        <v>131</v>
      </c>
      <c r="R434" s="58" t="s">
        <v>132</v>
      </c>
      <c r="S434" s="54" t="s">
        <v>98</v>
      </c>
    </row>
    <row r="435" customFormat="false" ht="35.05" hidden="false" customHeight="false" outlineLevel="0" collapsed="false">
      <c r="A435" s="51" t="s">
        <v>4046</v>
      </c>
      <c r="B435" s="51" t="n">
        <v>431</v>
      </c>
      <c r="C435" s="52" t="s">
        <v>4047</v>
      </c>
      <c r="D435" s="53" t="s">
        <v>4048</v>
      </c>
      <c r="E435" s="54" t="s">
        <v>4049</v>
      </c>
      <c r="F435" s="54" t="s">
        <v>2029</v>
      </c>
      <c r="G435" s="54" t="s">
        <v>4050</v>
      </c>
      <c r="H435" s="54" t="s">
        <v>4051</v>
      </c>
      <c r="I435" s="53" t="s">
        <v>4052</v>
      </c>
      <c r="J435" s="54" t="s">
        <v>4053</v>
      </c>
      <c r="K435" s="53" t="s">
        <v>4054</v>
      </c>
      <c r="L435" s="61" t="s">
        <v>10</v>
      </c>
      <c r="M435" s="72" t="n">
        <v>7</v>
      </c>
      <c r="N435" s="73" t="s">
        <v>3923</v>
      </c>
      <c r="O435" s="51" t="s">
        <v>95</v>
      </c>
      <c r="P435" s="54"/>
      <c r="Q435" s="54" t="s">
        <v>516</v>
      </c>
      <c r="R435" s="58" t="s">
        <v>517</v>
      </c>
      <c r="S435" s="54" t="s">
        <v>98</v>
      </c>
    </row>
    <row r="436" customFormat="false" ht="35.05" hidden="false" customHeight="false" outlineLevel="0" collapsed="false">
      <c r="A436" s="51" t="s">
        <v>4055</v>
      </c>
      <c r="B436" s="51" t="n">
        <v>432</v>
      </c>
      <c r="C436" s="52" t="s">
        <v>4056</v>
      </c>
      <c r="D436" s="53" t="s">
        <v>4057</v>
      </c>
      <c r="E436" s="54" t="s">
        <v>4058</v>
      </c>
      <c r="F436" s="54" t="s">
        <v>27</v>
      </c>
      <c r="G436" s="54" t="s">
        <v>4059</v>
      </c>
      <c r="H436" s="54" t="s">
        <v>4060</v>
      </c>
      <c r="I436" s="53" t="s">
        <v>4061</v>
      </c>
      <c r="J436" s="54" t="s">
        <v>4062</v>
      </c>
      <c r="K436" s="53" t="s">
        <v>4063</v>
      </c>
      <c r="L436" s="61" t="s">
        <v>10</v>
      </c>
      <c r="M436" s="72" t="n">
        <v>7</v>
      </c>
      <c r="N436" s="73" t="s">
        <v>3923</v>
      </c>
      <c r="O436" s="59" t="s">
        <v>161</v>
      </c>
      <c r="P436" s="54" t="s">
        <v>2864</v>
      </c>
      <c r="Q436" s="54" t="s">
        <v>516</v>
      </c>
      <c r="R436" s="58" t="s">
        <v>517</v>
      </c>
      <c r="S436" s="54" t="s">
        <v>98</v>
      </c>
    </row>
  </sheetData>
  <autoFilter ref="A4:S436"/>
  <mergeCells count="2">
    <mergeCell ref="A1:S1"/>
    <mergeCell ref="A2:S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285F4"/>
    <pageSetUpPr fitToPage="true"/>
  </sheetPr>
  <dimension ref="A1:S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
    <col collapsed="false" customWidth="true" hidden="false" outlineLevel="0" max="3" min="3" style="0" width="30"/>
    <col collapsed="false" customWidth="true" hidden="false" outlineLevel="0" max="4" min="4" style="0" width="26"/>
    <col collapsed="false" customWidth="true" hidden="false" outlineLevel="0" max="5" min="5" style="0" width="24"/>
    <col collapsed="false" customWidth="true" hidden="false" outlineLevel="0" max="6" min="6" style="0" width="22"/>
    <col collapsed="false" customWidth="true" hidden="false" outlineLevel="0" max="7" min="7" style="0" width="55"/>
    <col collapsed="false" customWidth="true" hidden="false" outlineLevel="0" max="8" min="8" style="0" width="46"/>
    <col collapsed="false" customWidth="true" hidden="false" outlineLevel="0" max="9" min="9" style="0" width="44"/>
    <col collapsed="false" customWidth="true" hidden="false" outlineLevel="0" max="10" min="10" style="0" width="46"/>
    <col collapsed="false" customWidth="true" hidden="false" outlineLevel="0" max="11" min="11" style="0" width="44"/>
    <col collapsed="false" customWidth="true" hidden="false" outlineLevel="0" max="12" min="12" style="0" width="14"/>
    <col collapsed="false" customWidth="true" hidden="false" outlineLevel="0" max="13" min="13" style="0" width="8"/>
    <col collapsed="false" customWidth="true" hidden="false" outlineLevel="0" max="14" min="14" style="0" width="30"/>
    <col collapsed="false" customWidth="true" hidden="false" outlineLevel="0" max="15" min="15" style="0" width="12"/>
    <col collapsed="false" customWidth="true" hidden="false" outlineLevel="0" max="16" min="16" style="0" width="24"/>
    <col collapsed="false" customWidth="true" hidden="false" outlineLevel="0" max="17" min="17" style="0" width="28"/>
    <col collapsed="false" customWidth="true" hidden="false" outlineLevel="0" max="18" min="18" style="0" width="45"/>
    <col collapsed="false" customWidth="true" hidden="false" outlineLevel="0" max="19" min="19" style="0" width="50"/>
  </cols>
  <sheetData>
    <row r="1" customFormat="false" ht="17.15" hidden="false" customHeight="false" outlineLevel="0" collapsed="false">
      <c r="A1" s="1" t="s">
        <v>4064</v>
      </c>
      <c r="B1" s="1"/>
      <c r="C1" s="1"/>
      <c r="D1" s="1"/>
      <c r="E1" s="1"/>
      <c r="F1" s="1"/>
      <c r="G1" s="1"/>
      <c r="H1" s="1"/>
      <c r="I1" s="1"/>
      <c r="J1" s="1"/>
      <c r="K1" s="1"/>
      <c r="L1" s="1"/>
      <c r="M1" s="1"/>
      <c r="N1" s="1"/>
      <c r="O1" s="1"/>
      <c r="P1" s="1"/>
      <c r="Q1" s="1"/>
      <c r="R1" s="1"/>
      <c r="S1" s="1"/>
    </row>
    <row r="2" customFormat="false" ht="11.9" hidden="false" customHeight="false" outlineLevel="0" collapsed="false">
      <c r="A2" s="2" t="s">
        <v>4065</v>
      </c>
      <c r="B2" s="2"/>
      <c r="C2" s="2"/>
      <c r="D2" s="2"/>
      <c r="E2" s="2"/>
      <c r="F2" s="2"/>
      <c r="G2" s="2"/>
      <c r="H2" s="2"/>
      <c r="I2" s="2"/>
      <c r="J2" s="2"/>
      <c r="K2" s="2"/>
      <c r="L2" s="2"/>
      <c r="M2" s="2"/>
      <c r="N2" s="2"/>
      <c r="O2" s="2"/>
      <c r="P2" s="2"/>
      <c r="Q2" s="2"/>
      <c r="R2" s="2"/>
      <c r="S2" s="2"/>
    </row>
    <row r="4" customFormat="false" ht="30" hidden="false" customHeight="true" outlineLevel="0" collapsed="false">
      <c r="A4" s="3" t="s">
        <v>50</v>
      </c>
      <c r="B4" s="3" t="s">
        <v>74</v>
      </c>
      <c r="C4" s="3" t="s">
        <v>75</v>
      </c>
      <c r="D4" s="3" t="s">
        <v>76</v>
      </c>
      <c r="E4" s="3" t="s">
        <v>54</v>
      </c>
      <c r="F4" s="3" t="s">
        <v>56</v>
      </c>
      <c r="G4" s="3" t="s">
        <v>58</v>
      </c>
      <c r="H4" s="3" t="s">
        <v>77</v>
      </c>
      <c r="I4" s="3" t="s">
        <v>78</v>
      </c>
      <c r="J4" s="3" t="s">
        <v>79</v>
      </c>
      <c r="K4" s="3" t="s">
        <v>80</v>
      </c>
      <c r="L4" s="3" t="s">
        <v>62</v>
      </c>
      <c r="M4" s="3" t="s">
        <v>2</v>
      </c>
      <c r="N4" s="3" t="s">
        <v>81</v>
      </c>
      <c r="O4" s="3" t="s">
        <v>64</v>
      </c>
      <c r="P4" s="3" t="s">
        <v>66</v>
      </c>
      <c r="Q4" s="3" t="s">
        <v>82</v>
      </c>
      <c r="R4" s="3" t="s">
        <v>83</v>
      </c>
      <c r="S4" s="3" t="s">
        <v>70</v>
      </c>
    </row>
    <row r="5" customFormat="false" ht="35.05" hidden="false" customHeight="false" outlineLevel="0" collapsed="false">
      <c r="A5" s="51" t="s">
        <v>84</v>
      </c>
      <c r="B5" s="51" t="n">
        <v>1</v>
      </c>
      <c r="C5" s="52" t="s">
        <v>85</v>
      </c>
      <c r="D5" s="53" t="s">
        <v>86</v>
      </c>
      <c r="E5" s="54" t="s">
        <v>87</v>
      </c>
      <c r="F5" s="54" t="s">
        <v>88</v>
      </c>
      <c r="G5" s="54" t="s">
        <v>89</v>
      </c>
      <c r="H5" s="54" t="s">
        <v>90</v>
      </c>
      <c r="I5" s="53" t="s">
        <v>91</v>
      </c>
      <c r="J5" s="54" t="s">
        <v>92</v>
      </c>
      <c r="K5" s="53" t="s">
        <v>93</v>
      </c>
      <c r="L5" s="55" t="s">
        <v>8</v>
      </c>
      <c r="M5" s="56" t="n">
        <v>1</v>
      </c>
      <c r="N5" s="57" t="s">
        <v>94</v>
      </c>
      <c r="O5" s="51" t="s">
        <v>95</v>
      </c>
      <c r="P5" s="54"/>
      <c r="Q5" s="54" t="s">
        <v>96</v>
      </c>
      <c r="R5" s="58" t="s">
        <v>97</v>
      </c>
      <c r="S5" s="54" t="s">
        <v>98</v>
      </c>
    </row>
    <row r="6" customFormat="false" ht="46.25" hidden="false" customHeight="false" outlineLevel="0" collapsed="false">
      <c r="A6" s="51" t="s">
        <v>99</v>
      </c>
      <c r="B6" s="51" t="n">
        <v>2</v>
      </c>
      <c r="C6" s="52" t="s">
        <v>100</v>
      </c>
      <c r="D6" s="53" t="s">
        <v>101</v>
      </c>
      <c r="E6" s="54" t="s">
        <v>102</v>
      </c>
      <c r="F6" s="54" t="s">
        <v>103</v>
      </c>
      <c r="G6" s="54" t="s">
        <v>104</v>
      </c>
      <c r="H6" s="54" t="s">
        <v>105</v>
      </c>
      <c r="I6" s="53" t="s">
        <v>106</v>
      </c>
      <c r="J6" s="54" t="s">
        <v>107</v>
      </c>
      <c r="K6" s="53" t="s">
        <v>108</v>
      </c>
      <c r="L6" s="55" t="s">
        <v>8</v>
      </c>
      <c r="M6" s="56" t="n">
        <v>1</v>
      </c>
      <c r="N6" s="57" t="s">
        <v>94</v>
      </c>
      <c r="O6" s="51" t="s">
        <v>95</v>
      </c>
      <c r="P6" s="54"/>
      <c r="Q6" s="54" t="s">
        <v>109</v>
      </c>
      <c r="R6" s="58" t="s">
        <v>110</v>
      </c>
      <c r="S6" s="54" t="s">
        <v>98</v>
      </c>
    </row>
    <row r="7" customFormat="false" ht="35.05" hidden="false" customHeight="false" outlineLevel="0" collapsed="false">
      <c r="A7" s="51" t="s">
        <v>111</v>
      </c>
      <c r="B7" s="51" t="n">
        <v>3</v>
      </c>
      <c r="C7" s="52" t="s">
        <v>112</v>
      </c>
      <c r="D7" s="53" t="s">
        <v>113</v>
      </c>
      <c r="E7" s="54" t="s">
        <v>114</v>
      </c>
      <c r="F7" s="54" t="s">
        <v>115</v>
      </c>
      <c r="G7" s="54" t="s">
        <v>116</v>
      </c>
      <c r="H7" s="54" t="s">
        <v>117</v>
      </c>
      <c r="I7" s="53" t="s">
        <v>118</v>
      </c>
      <c r="J7" s="54" t="s">
        <v>119</v>
      </c>
      <c r="K7" s="53" t="s">
        <v>120</v>
      </c>
      <c r="L7" s="55" t="s">
        <v>8</v>
      </c>
      <c r="M7" s="56" t="n">
        <v>1</v>
      </c>
      <c r="N7" s="57" t="s">
        <v>94</v>
      </c>
      <c r="O7" s="51" t="s">
        <v>95</v>
      </c>
      <c r="P7" s="54"/>
      <c r="Q7" s="54" t="s">
        <v>96</v>
      </c>
      <c r="R7" s="58" t="s">
        <v>97</v>
      </c>
      <c r="S7" s="54" t="s">
        <v>98</v>
      </c>
    </row>
    <row r="8" customFormat="false" ht="35.05" hidden="false" customHeight="false" outlineLevel="0" collapsed="false">
      <c r="A8" s="51" t="s">
        <v>121</v>
      </c>
      <c r="B8" s="51" t="n">
        <v>4</v>
      </c>
      <c r="C8" s="52" t="s">
        <v>122</v>
      </c>
      <c r="D8" s="53" t="s">
        <v>123</v>
      </c>
      <c r="E8" s="54" t="s">
        <v>124</v>
      </c>
      <c r="F8" s="54" t="s">
        <v>125</v>
      </c>
      <c r="G8" s="54" t="s">
        <v>126</v>
      </c>
      <c r="H8" s="54" t="s">
        <v>127</v>
      </c>
      <c r="I8" s="53" t="s">
        <v>128</v>
      </c>
      <c r="J8" s="54" t="s">
        <v>129</v>
      </c>
      <c r="K8" s="53" t="s">
        <v>130</v>
      </c>
      <c r="L8" s="55" t="s">
        <v>8</v>
      </c>
      <c r="M8" s="56" t="n">
        <v>1</v>
      </c>
      <c r="N8" s="57" t="s">
        <v>94</v>
      </c>
      <c r="O8" s="51" t="s">
        <v>95</v>
      </c>
      <c r="P8" s="54"/>
      <c r="Q8" s="54" t="s">
        <v>131</v>
      </c>
      <c r="R8" s="58" t="s">
        <v>132</v>
      </c>
      <c r="S8" s="54" t="s">
        <v>98</v>
      </c>
    </row>
    <row r="9" customFormat="false" ht="35.05" hidden="false" customHeight="false" outlineLevel="0" collapsed="false">
      <c r="A9" s="51" t="s">
        <v>133</v>
      </c>
      <c r="B9" s="51" t="n">
        <v>5</v>
      </c>
      <c r="C9" s="52" t="s">
        <v>134</v>
      </c>
      <c r="D9" s="53" t="s">
        <v>135</v>
      </c>
      <c r="E9" s="54" t="s">
        <v>136</v>
      </c>
      <c r="F9" s="54" t="s">
        <v>137</v>
      </c>
      <c r="G9" s="54" t="s">
        <v>138</v>
      </c>
      <c r="H9" s="54" t="s">
        <v>139</v>
      </c>
      <c r="I9" s="53" t="s">
        <v>140</v>
      </c>
      <c r="J9" s="54" t="s">
        <v>141</v>
      </c>
      <c r="K9" s="53" t="s">
        <v>142</v>
      </c>
      <c r="L9" s="55" t="s">
        <v>8</v>
      </c>
      <c r="M9" s="56" t="n">
        <v>1</v>
      </c>
      <c r="N9" s="57" t="s">
        <v>94</v>
      </c>
      <c r="O9" s="51" t="s">
        <v>95</v>
      </c>
      <c r="P9" s="54"/>
      <c r="Q9" s="54" t="s">
        <v>96</v>
      </c>
      <c r="R9" s="58" t="s">
        <v>97</v>
      </c>
      <c r="S9" s="54" t="s">
        <v>98</v>
      </c>
    </row>
    <row r="10" customFormat="false" ht="46.25" hidden="false" customHeight="false" outlineLevel="0" collapsed="false">
      <c r="A10" s="51" t="s">
        <v>143</v>
      </c>
      <c r="B10" s="51" t="n">
        <v>6</v>
      </c>
      <c r="C10" s="52" t="s">
        <v>144</v>
      </c>
      <c r="D10" s="53" t="s">
        <v>145</v>
      </c>
      <c r="E10" s="54" t="s">
        <v>146</v>
      </c>
      <c r="F10" s="54" t="s">
        <v>115</v>
      </c>
      <c r="G10" s="54" t="s">
        <v>147</v>
      </c>
      <c r="H10" s="54" t="s">
        <v>148</v>
      </c>
      <c r="I10" s="53" t="s">
        <v>149</v>
      </c>
      <c r="J10" s="54" t="s">
        <v>150</v>
      </c>
      <c r="K10" s="53" t="s">
        <v>151</v>
      </c>
      <c r="L10" s="55" t="s">
        <v>8</v>
      </c>
      <c r="M10" s="56" t="n">
        <v>1</v>
      </c>
      <c r="N10" s="57" t="s">
        <v>94</v>
      </c>
      <c r="O10" s="51" t="s">
        <v>95</v>
      </c>
      <c r="P10" s="54"/>
      <c r="Q10" s="54" t="s">
        <v>109</v>
      </c>
      <c r="R10" s="58" t="s">
        <v>110</v>
      </c>
      <c r="S10" s="54" t="s">
        <v>98</v>
      </c>
    </row>
    <row r="11" customFormat="false" ht="35.05" hidden="false" customHeight="false" outlineLevel="0" collapsed="false">
      <c r="A11" s="51" t="s">
        <v>152</v>
      </c>
      <c r="B11" s="51" t="n">
        <v>7</v>
      </c>
      <c r="C11" s="52" t="s">
        <v>153</v>
      </c>
      <c r="D11" s="53" t="s">
        <v>154</v>
      </c>
      <c r="E11" s="54" t="s">
        <v>155</v>
      </c>
      <c r="F11" s="54" t="s">
        <v>88</v>
      </c>
      <c r="G11" s="54" t="s">
        <v>156</v>
      </c>
      <c r="H11" s="54" t="s">
        <v>157</v>
      </c>
      <c r="I11" s="53" t="s">
        <v>158</v>
      </c>
      <c r="J11" s="54" t="s">
        <v>159</v>
      </c>
      <c r="K11" s="53" t="s">
        <v>160</v>
      </c>
      <c r="L11" s="55" t="s">
        <v>8</v>
      </c>
      <c r="M11" s="56" t="n">
        <v>1</v>
      </c>
      <c r="N11" s="57" t="s">
        <v>94</v>
      </c>
      <c r="O11" s="59" t="s">
        <v>161</v>
      </c>
      <c r="P11" s="54" t="s">
        <v>162</v>
      </c>
      <c r="Q11" s="54" t="s">
        <v>131</v>
      </c>
      <c r="R11" s="58" t="s">
        <v>132</v>
      </c>
      <c r="S11" s="54" t="s">
        <v>98</v>
      </c>
    </row>
    <row r="12" customFormat="false" ht="35.05" hidden="false" customHeight="false" outlineLevel="0" collapsed="false">
      <c r="A12" s="51" t="s">
        <v>163</v>
      </c>
      <c r="B12" s="51" t="n">
        <v>8</v>
      </c>
      <c r="C12" s="52" t="s">
        <v>164</v>
      </c>
      <c r="D12" s="53" t="s">
        <v>165</v>
      </c>
      <c r="E12" s="54" t="s">
        <v>166</v>
      </c>
      <c r="F12" s="54" t="s">
        <v>125</v>
      </c>
      <c r="G12" s="54" t="s">
        <v>167</v>
      </c>
      <c r="H12" s="54" t="s">
        <v>168</v>
      </c>
      <c r="I12" s="53" t="s">
        <v>169</v>
      </c>
      <c r="J12" s="54" t="s">
        <v>170</v>
      </c>
      <c r="K12" s="53" t="s">
        <v>171</v>
      </c>
      <c r="L12" s="55" t="s">
        <v>8</v>
      </c>
      <c r="M12" s="56" t="n">
        <v>1</v>
      </c>
      <c r="N12" s="57" t="s">
        <v>94</v>
      </c>
      <c r="O12" s="51" t="s">
        <v>95</v>
      </c>
      <c r="P12" s="54"/>
      <c r="Q12" s="54" t="s">
        <v>131</v>
      </c>
      <c r="R12" s="58" t="s">
        <v>132</v>
      </c>
      <c r="S12" s="54" t="s">
        <v>98</v>
      </c>
    </row>
    <row r="13" customFormat="false" ht="35.05" hidden="false" customHeight="false" outlineLevel="0" collapsed="false">
      <c r="A13" s="51" t="s">
        <v>172</v>
      </c>
      <c r="B13" s="51" t="n">
        <v>9</v>
      </c>
      <c r="C13" s="52" t="s">
        <v>173</v>
      </c>
      <c r="D13" s="53" t="s">
        <v>174</v>
      </c>
      <c r="E13" s="54" t="s">
        <v>175</v>
      </c>
      <c r="F13" s="54" t="s">
        <v>176</v>
      </c>
      <c r="G13" s="54" t="s">
        <v>177</v>
      </c>
      <c r="H13" s="54" t="s">
        <v>178</v>
      </c>
      <c r="I13" s="53" t="s">
        <v>179</v>
      </c>
      <c r="J13" s="54" t="s">
        <v>180</v>
      </c>
      <c r="K13" s="53" t="s">
        <v>181</v>
      </c>
      <c r="L13" s="55" t="s">
        <v>8</v>
      </c>
      <c r="M13" s="56" t="n">
        <v>1</v>
      </c>
      <c r="N13" s="57" t="s">
        <v>94</v>
      </c>
      <c r="O13" s="51" t="s">
        <v>95</v>
      </c>
      <c r="P13" s="54"/>
      <c r="Q13" s="54" t="s">
        <v>131</v>
      </c>
      <c r="R13" s="58" t="s">
        <v>132</v>
      </c>
      <c r="S13" s="54" t="s">
        <v>98</v>
      </c>
    </row>
    <row r="14" customFormat="false" ht="35.05" hidden="false" customHeight="false" outlineLevel="0" collapsed="false">
      <c r="A14" s="51" t="s">
        <v>182</v>
      </c>
      <c r="B14" s="51" t="n">
        <v>10</v>
      </c>
      <c r="C14" s="52" t="s">
        <v>183</v>
      </c>
      <c r="D14" s="53" t="s">
        <v>184</v>
      </c>
      <c r="E14" s="54" t="s">
        <v>185</v>
      </c>
      <c r="F14" s="54" t="s">
        <v>115</v>
      </c>
      <c r="G14" s="54" t="s">
        <v>186</v>
      </c>
      <c r="H14" s="54" t="s">
        <v>187</v>
      </c>
      <c r="I14" s="53" t="s">
        <v>188</v>
      </c>
      <c r="J14" s="54" t="s">
        <v>189</v>
      </c>
      <c r="K14" s="53" t="s">
        <v>190</v>
      </c>
      <c r="L14" s="55" t="s">
        <v>8</v>
      </c>
      <c r="M14" s="56" t="n">
        <v>1</v>
      </c>
      <c r="N14" s="57" t="s">
        <v>94</v>
      </c>
      <c r="O14" s="51" t="s">
        <v>95</v>
      </c>
      <c r="P14" s="54"/>
      <c r="Q14" s="54" t="s">
        <v>131</v>
      </c>
      <c r="R14" s="58" t="s">
        <v>132</v>
      </c>
      <c r="S14" s="54" t="s">
        <v>98</v>
      </c>
    </row>
    <row r="15" customFormat="false" ht="35.05" hidden="false" customHeight="false" outlineLevel="0" collapsed="false">
      <c r="A15" s="51" t="s">
        <v>191</v>
      </c>
      <c r="B15" s="51" t="n">
        <v>11</v>
      </c>
      <c r="C15" s="52" t="s">
        <v>192</v>
      </c>
      <c r="D15" s="53" t="s">
        <v>193</v>
      </c>
      <c r="E15" s="54" t="s">
        <v>194</v>
      </c>
      <c r="F15" s="54" t="s">
        <v>125</v>
      </c>
      <c r="G15" s="54" t="s">
        <v>195</v>
      </c>
      <c r="H15" s="54" t="s">
        <v>196</v>
      </c>
      <c r="I15" s="53" t="s">
        <v>197</v>
      </c>
      <c r="J15" s="54" t="s">
        <v>198</v>
      </c>
      <c r="K15" s="53" t="s">
        <v>199</v>
      </c>
      <c r="L15" s="55" t="s">
        <v>8</v>
      </c>
      <c r="M15" s="56" t="n">
        <v>1</v>
      </c>
      <c r="N15" s="57" t="s">
        <v>94</v>
      </c>
      <c r="O15" s="51" t="s">
        <v>95</v>
      </c>
      <c r="P15" s="54"/>
      <c r="Q15" s="54" t="s">
        <v>131</v>
      </c>
      <c r="R15" s="58" t="s">
        <v>132</v>
      </c>
      <c r="S15" s="54" t="s">
        <v>98</v>
      </c>
    </row>
    <row r="16" customFormat="false" ht="35.05" hidden="false" customHeight="false" outlineLevel="0" collapsed="false">
      <c r="A16" s="51" t="s">
        <v>200</v>
      </c>
      <c r="B16" s="51" t="n">
        <v>12</v>
      </c>
      <c r="C16" s="52" t="s">
        <v>201</v>
      </c>
      <c r="D16" s="53" t="s">
        <v>202</v>
      </c>
      <c r="E16" s="54" t="s">
        <v>203</v>
      </c>
      <c r="F16" s="54" t="s">
        <v>88</v>
      </c>
      <c r="G16" s="54" t="s">
        <v>204</v>
      </c>
      <c r="H16" s="54" t="s">
        <v>205</v>
      </c>
      <c r="I16" s="53" t="s">
        <v>206</v>
      </c>
      <c r="J16" s="54" t="s">
        <v>207</v>
      </c>
      <c r="K16" s="53" t="s">
        <v>208</v>
      </c>
      <c r="L16" s="55" t="s">
        <v>8</v>
      </c>
      <c r="M16" s="56" t="n">
        <v>1</v>
      </c>
      <c r="N16" s="57" t="s">
        <v>94</v>
      </c>
      <c r="O16" s="51" t="s">
        <v>95</v>
      </c>
      <c r="P16" s="54"/>
      <c r="Q16" s="54" t="s">
        <v>96</v>
      </c>
      <c r="R16" s="58" t="s">
        <v>97</v>
      </c>
      <c r="S16" s="54" t="s">
        <v>98</v>
      </c>
    </row>
    <row r="17" customFormat="false" ht="35.05" hidden="false" customHeight="false" outlineLevel="0" collapsed="false">
      <c r="A17" s="51" t="s">
        <v>209</v>
      </c>
      <c r="B17" s="51" t="n">
        <v>13</v>
      </c>
      <c r="C17" s="52" t="s">
        <v>210</v>
      </c>
      <c r="D17" s="53" t="s">
        <v>211</v>
      </c>
      <c r="E17" s="54" t="s">
        <v>212</v>
      </c>
      <c r="F17" s="54" t="s">
        <v>115</v>
      </c>
      <c r="G17" s="54" t="s">
        <v>213</v>
      </c>
      <c r="H17" s="54" t="s">
        <v>214</v>
      </c>
      <c r="I17" s="53" t="s">
        <v>215</v>
      </c>
      <c r="J17" s="54" t="s">
        <v>216</v>
      </c>
      <c r="K17" s="53" t="s">
        <v>217</v>
      </c>
      <c r="L17" s="55" t="s">
        <v>8</v>
      </c>
      <c r="M17" s="56" t="n">
        <v>1</v>
      </c>
      <c r="N17" s="57" t="s">
        <v>94</v>
      </c>
      <c r="O17" s="51" t="s">
        <v>95</v>
      </c>
      <c r="P17" s="54"/>
      <c r="Q17" s="54" t="s">
        <v>96</v>
      </c>
      <c r="R17" s="58" t="s">
        <v>97</v>
      </c>
      <c r="S17" s="54" t="s">
        <v>98</v>
      </c>
    </row>
    <row r="18" customFormat="false" ht="35.05" hidden="false" customHeight="false" outlineLevel="0" collapsed="false">
      <c r="A18" s="51" t="s">
        <v>218</v>
      </c>
      <c r="B18" s="51" t="n">
        <v>14</v>
      </c>
      <c r="C18" s="52" t="s">
        <v>219</v>
      </c>
      <c r="D18" s="53" t="s">
        <v>220</v>
      </c>
      <c r="E18" s="54" t="s">
        <v>221</v>
      </c>
      <c r="F18" s="54" t="s">
        <v>222</v>
      </c>
      <c r="G18" s="54" t="s">
        <v>223</v>
      </c>
      <c r="H18" s="54" t="s">
        <v>224</v>
      </c>
      <c r="I18" s="53" t="s">
        <v>225</v>
      </c>
      <c r="J18" s="54" t="s">
        <v>226</v>
      </c>
      <c r="K18" s="53" t="s">
        <v>227</v>
      </c>
      <c r="L18" s="55" t="s">
        <v>8</v>
      </c>
      <c r="M18" s="56" t="n">
        <v>1</v>
      </c>
      <c r="N18" s="57" t="s">
        <v>94</v>
      </c>
      <c r="O18" s="51" t="s">
        <v>95</v>
      </c>
      <c r="P18" s="54"/>
      <c r="Q18" s="54" t="s">
        <v>96</v>
      </c>
      <c r="R18" s="58" t="s">
        <v>97</v>
      </c>
      <c r="S18" s="54" t="s">
        <v>98</v>
      </c>
    </row>
    <row r="19" customFormat="false" ht="68.65" hidden="false" customHeight="false" outlineLevel="0" collapsed="false">
      <c r="A19" s="51" t="s">
        <v>228</v>
      </c>
      <c r="B19" s="51" t="n">
        <v>15</v>
      </c>
      <c r="C19" s="52" t="s">
        <v>229</v>
      </c>
      <c r="D19" s="53" t="s">
        <v>230</v>
      </c>
      <c r="E19" s="54" t="s">
        <v>231</v>
      </c>
      <c r="F19" s="54" t="s">
        <v>88</v>
      </c>
      <c r="G19" s="54" t="s">
        <v>232</v>
      </c>
      <c r="H19" s="54" t="s">
        <v>233</v>
      </c>
      <c r="I19" s="53" t="s">
        <v>234</v>
      </c>
      <c r="J19" s="54" t="s">
        <v>235</v>
      </c>
      <c r="K19" s="53" t="s">
        <v>236</v>
      </c>
      <c r="L19" s="55" t="s">
        <v>8</v>
      </c>
      <c r="M19" s="56" t="n">
        <v>1</v>
      </c>
      <c r="N19" s="57" t="s">
        <v>94</v>
      </c>
      <c r="O19" s="59" t="s">
        <v>161</v>
      </c>
      <c r="P19" s="54" t="s">
        <v>162</v>
      </c>
      <c r="Q19" s="54" t="s">
        <v>237</v>
      </c>
      <c r="R19" s="58" t="s">
        <v>238</v>
      </c>
      <c r="S19" s="54" t="s">
        <v>98</v>
      </c>
    </row>
    <row r="20" customFormat="false" ht="35.05" hidden="false" customHeight="false" outlineLevel="0" collapsed="false">
      <c r="A20" s="51" t="s">
        <v>239</v>
      </c>
      <c r="B20" s="51" t="n">
        <v>16</v>
      </c>
      <c r="C20" s="52" t="s">
        <v>240</v>
      </c>
      <c r="D20" s="53" t="s">
        <v>241</v>
      </c>
      <c r="E20" s="54" t="s">
        <v>242</v>
      </c>
      <c r="F20" s="54" t="s">
        <v>222</v>
      </c>
      <c r="G20" s="54" t="s">
        <v>243</v>
      </c>
      <c r="H20" s="54" t="s">
        <v>244</v>
      </c>
      <c r="I20" s="53" t="s">
        <v>245</v>
      </c>
      <c r="J20" s="54" t="s">
        <v>246</v>
      </c>
      <c r="K20" s="53" t="s">
        <v>247</v>
      </c>
      <c r="L20" s="55" t="s">
        <v>8</v>
      </c>
      <c r="M20" s="56" t="n">
        <v>1</v>
      </c>
      <c r="N20" s="57" t="s">
        <v>94</v>
      </c>
      <c r="O20" s="51" t="s">
        <v>95</v>
      </c>
      <c r="P20" s="54"/>
      <c r="Q20" s="54" t="s">
        <v>131</v>
      </c>
      <c r="R20" s="58" t="s">
        <v>132</v>
      </c>
      <c r="S20" s="54" t="s">
        <v>98</v>
      </c>
    </row>
    <row r="21" customFormat="false" ht="35.05" hidden="false" customHeight="false" outlineLevel="0" collapsed="false">
      <c r="A21" s="51" t="s">
        <v>248</v>
      </c>
      <c r="B21" s="51" t="n">
        <v>17</v>
      </c>
      <c r="C21" s="52" t="s">
        <v>249</v>
      </c>
      <c r="D21" s="53" t="s">
        <v>250</v>
      </c>
      <c r="E21" s="54" t="s">
        <v>251</v>
      </c>
      <c r="F21" s="54" t="s">
        <v>249</v>
      </c>
      <c r="G21" s="54" t="s">
        <v>252</v>
      </c>
      <c r="H21" s="54" t="s">
        <v>253</v>
      </c>
      <c r="I21" s="53" t="s">
        <v>254</v>
      </c>
      <c r="J21" s="54" t="s">
        <v>255</v>
      </c>
      <c r="K21" s="53" t="s">
        <v>256</v>
      </c>
      <c r="L21" s="55" t="s">
        <v>8</v>
      </c>
      <c r="M21" s="56" t="n">
        <v>1</v>
      </c>
      <c r="N21" s="57" t="s">
        <v>94</v>
      </c>
      <c r="O21" s="51" t="s">
        <v>95</v>
      </c>
      <c r="P21" s="54"/>
      <c r="Q21" s="54" t="s">
        <v>96</v>
      </c>
      <c r="R21" s="58" t="s">
        <v>97</v>
      </c>
      <c r="S21" s="54" t="s">
        <v>98</v>
      </c>
    </row>
    <row r="22" customFormat="false" ht="68.65" hidden="false" customHeight="false" outlineLevel="0" collapsed="false">
      <c r="A22" s="51" t="s">
        <v>257</v>
      </c>
      <c r="B22" s="51" t="n">
        <v>18</v>
      </c>
      <c r="C22" s="52" t="s">
        <v>258</v>
      </c>
      <c r="D22" s="53" t="s">
        <v>259</v>
      </c>
      <c r="E22" s="54" t="s">
        <v>260</v>
      </c>
      <c r="F22" s="54" t="s">
        <v>261</v>
      </c>
      <c r="G22" s="54" t="s">
        <v>262</v>
      </c>
      <c r="H22" s="54" t="s">
        <v>263</v>
      </c>
      <c r="I22" s="53" t="s">
        <v>264</v>
      </c>
      <c r="J22" s="54" t="s">
        <v>265</v>
      </c>
      <c r="K22" s="53" t="s">
        <v>266</v>
      </c>
      <c r="L22" s="55" t="s">
        <v>8</v>
      </c>
      <c r="M22" s="56" t="n">
        <v>1</v>
      </c>
      <c r="N22" s="57" t="s">
        <v>94</v>
      </c>
      <c r="O22" s="51" t="s">
        <v>95</v>
      </c>
      <c r="P22" s="54"/>
      <c r="Q22" s="54" t="s">
        <v>237</v>
      </c>
      <c r="R22" s="58" t="s">
        <v>238</v>
      </c>
      <c r="S22" s="54" t="s">
        <v>98</v>
      </c>
    </row>
    <row r="23" customFormat="false" ht="35.05" hidden="false" customHeight="false" outlineLevel="0" collapsed="false">
      <c r="A23" s="51" t="s">
        <v>267</v>
      </c>
      <c r="B23" s="51" t="n">
        <v>19</v>
      </c>
      <c r="C23" s="52" t="s">
        <v>268</v>
      </c>
      <c r="D23" s="53" t="s">
        <v>269</v>
      </c>
      <c r="E23" s="54" t="s">
        <v>270</v>
      </c>
      <c r="F23" s="54" t="s">
        <v>222</v>
      </c>
      <c r="G23" s="54" t="s">
        <v>271</v>
      </c>
      <c r="H23" s="54" t="s">
        <v>272</v>
      </c>
      <c r="I23" s="53" t="s">
        <v>273</v>
      </c>
      <c r="J23" s="54" t="s">
        <v>274</v>
      </c>
      <c r="K23" s="53" t="s">
        <v>275</v>
      </c>
      <c r="L23" s="55" t="s">
        <v>8</v>
      </c>
      <c r="M23" s="56" t="n">
        <v>1</v>
      </c>
      <c r="N23" s="57" t="s">
        <v>94</v>
      </c>
      <c r="O23" s="51" t="s">
        <v>95</v>
      </c>
      <c r="P23" s="54"/>
      <c r="Q23" s="54" t="s">
        <v>131</v>
      </c>
      <c r="R23" s="58" t="s">
        <v>132</v>
      </c>
      <c r="S23" s="54" t="s">
        <v>98</v>
      </c>
    </row>
    <row r="24" customFormat="false" ht="35.05" hidden="false" customHeight="false" outlineLevel="0" collapsed="false">
      <c r="A24" s="51" t="s">
        <v>276</v>
      </c>
      <c r="B24" s="51" t="n">
        <v>20</v>
      </c>
      <c r="C24" s="52" t="s">
        <v>277</v>
      </c>
      <c r="D24" s="53" t="s">
        <v>278</v>
      </c>
      <c r="E24" s="54" t="s">
        <v>279</v>
      </c>
      <c r="F24" s="54" t="s">
        <v>222</v>
      </c>
      <c r="G24" s="54" t="s">
        <v>280</v>
      </c>
      <c r="H24" s="54" t="s">
        <v>281</v>
      </c>
      <c r="I24" s="53" t="s">
        <v>282</v>
      </c>
      <c r="J24" s="54" t="s">
        <v>283</v>
      </c>
      <c r="K24" s="53" t="s">
        <v>284</v>
      </c>
      <c r="L24" s="55" t="s">
        <v>8</v>
      </c>
      <c r="M24" s="56" t="n">
        <v>1</v>
      </c>
      <c r="N24" s="57" t="s">
        <v>94</v>
      </c>
      <c r="O24" s="51" t="s">
        <v>95</v>
      </c>
      <c r="P24" s="54"/>
      <c r="Q24" s="54" t="s">
        <v>131</v>
      </c>
      <c r="R24" s="58" t="s">
        <v>132</v>
      </c>
      <c r="S24" s="54" t="s">
        <v>98</v>
      </c>
    </row>
    <row r="25" customFormat="false" ht="35.05" hidden="false" customHeight="false" outlineLevel="0" collapsed="false">
      <c r="A25" s="51" t="s">
        <v>285</v>
      </c>
      <c r="B25" s="51" t="n">
        <v>21</v>
      </c>
      <c r="C25" s="52" t="s">
        <v>286</v>
      </c>
      <c r="D25" s="53" t="s">
        <v>287</v>
      </c>
      <c r="E25" s="54" t="s">
        <v>288</v>
      </c>
      <c r="F25" s="54" t="s">
        <v>289</v>
      </c>
      <c r="G25" s="54" t="s">
        <v>290</v>
      </c>
      <c r="H25" s="54" t="s">
        <v>291</v>
      </c>
      <c r="I25" s="53" t="s">
        <v>292</v>
      </c>
      <c r="J25" s="54" t="s">
        <v>293</v>
      </c>
      <c r="K25" s="53" t="s">
        <v>294</v>
      </c>
      <c r="L25" s="55" t="s">
        <v>8</v>
      </c>
      <c r="M25" s="56" t="n">
        <v>1</v>
      </c>
      <c r="N25" s="57" t="s">
        <v>94</v>
      </c>
      <c r="O25" s="51" t="s">
        <v>95</v>
      </c>
      <c r="P25" s="54"/>
      <c r="Q25" s="54" t="s">
        <v>96</v>
      </c>
      <c r="R25" s="58" t="s">
        <v>97</v>
      </c>
      <c r="S25" s="54" t="s">
        <v>98</v>
      </c>
    </row>
    <row r="26" customFormat="false" ht="46.25" hidden="false" customHeight="false" outlineLevel="0" collapsed="false">
      <c r="A26" s="51" t="s">
        <v>295</v>
      </c>
      <c r="B26" s="51" t="n">
        <v>22</v>
      </c>
      <c r="C26" s="52" t="s">
        <v>296</v>
      </c>
      <c r="D26" s="53" t="s">
        <v>297</v>
      </c>
      <c r="E26" s="54" t="s">
        <v>298</v>
      </c>
      <c r="F26" s="54" t="s">
        <v>261</v>
      </c>
      <c r="G26" s="54" t="s">
        <v>299</v>
      </c>
      <c r="H26" s="54" t="s">
        <v>300</v>
      </c>
      <c r="I26" s="53" t="s">
        <v>301</v>
      </c>
      <c r="J26" s="54" t="s">
        <v>302</v>
      </c>
      <c r="K26" s="53" t="s">
        <v>303</v>
      </c>
      <c r="L26" s="55" t="s">
        <v>8</v>
      </c>
      <c r="M26" s="56" t="n">
        <v>1</v>
      </c>
      <c r="N26" s="57" t="s">
        <v>94</v>
      </c>
      <c r="O26" s="59" t="s">
        <v>161</v>
      </c>
      <c r="P26" s="54" t="s">
        <v>304</v>
      </c>
      <c r="Q26" s="54" t="s">
        <v>109</v>
      </c>
      <c r="R26" s="58" t="s">
        <v>110</v>
      </c>
      <c r="S26" s="54" t="s">
        <v>98</v>
      </c>
    </row>
    <row r="27" customFormat="false" ht="35.05" hidden="false" customHeight="false" outlineLevel="0" collapsed="false">
      <c r="A27" s="51" t="s">
        <v>305</v>
      </c>
      <c r="B27" s="51" t="n">
        <v>23</v>
      </c>
      <c r="C27" s="52" t="s">
        <v>306</v>
      </c>
      <c r="D27" s="53" t="s">
        <v>307</v>
      </c>
      <c r="E27" s="54" t="s">
        <v>308</v>
      </c>
      <c r="F27" s="54" t="s">
        <v>261</v>
      </c>
      <c r="G27" s="54" t="s">
        <v>309</v>
      </c>
      <c r="H27" s="54" t="s">
        <v>310</v>
      </c>
      <c r="I27" s="53" t="s">
        <v>311</v>
      </c>
      <c r="J27" s="54" t="s">
        <v>312</v>
      </c>
      <c r="K27" s="53" t="s">
        <v>313</v>
      </c>
      <c r="L27" s="55" t="s">
        <v>8</v>
      </c>
      <c r="M27" s="56" t="n">
        <v>1</v>
      </c>
      <c r="N27" s="57" t="s">
        <v>94</v>
      </c>
      <c r="O27" s="51" t="s">
        <v>95</v>
      </c>
      <c r="P27" s="54"/>
      <c r="Q27" s="54" t="s">
        <v>131</v>
      </c>
      <c r="R27" s="58" t="s">
        <v>132</v>
      </c>
      <c r="S27" s="54" t="s">
        <v>98</v>
      </c>
    </row>
    <row r="28" customFormat="false" ht="35.05" hidden="false" customHeight="false" outlineLevel="0" collapsed="false">
      <c r="A28" s="51" t="s">
        <v>314</v>
      </c>
      <c r="B28" s="51" t="n">
        <v>24</v>
      </c>
      <c r="C28" s="52" t="s">
        <v>315</v>
      </c>
      <c r="D28" s="53" t="s">
        <v>316</v>
      </c>
      <c r="E28" s="54" t="s">
        <v>317</v>
      </c>
      <c r="F28" s="54" t="s">
        <v>27</v>
      </c>
      <c r="G28" s="54" t="s">
        <v>318</v>
      </c>
      <c r="H28" s="54" t="s">
        <v>319</v>
      </c>
      <c r="I28" s="53" t="s">
        <v>320</v>
      </c>
      <c r="J28" s="54" t="s">
        <v>321</v>
      </c>
      <c r="K28" s="53" t="s">
        <v>322</v>
      </c>
      <c r="L28" s="55" t="s">
        <v>8</v>
      </c>
      <c r="M28" s="56" t="n">
        <v>1</v>
      </c>
      <c r="N28" s="57" t="s">
        <v>94</v>
      </c>
      <c r="O28" s="51" t="s">
        <v>95</v>
      </c>
      <c r="P28" s="54"/>
      <c r="Q28" s="54" t="s">
        <v>96</v>
      </c>
      <c r="R28" s="58" t="s">
        <v>97</v>
      </c>
      <c r="S28" s="54" t="s">
        <v>98</v>
      </c>
    </row>
    <row r="29" customFormat="false" ht="46.25" hidden="false" customHeight="false" outlineLevel="0" collapsed="false">
      <c r="A29" s="51" t="s">
        <v>323</v>
      </c>
      <c r="B29" s="51" t="n">
        <v>25</v>
      </c>
      <c r="C29" s="52" t="s">
        <v>324</v>
      </c>
      <c r="D29" s="53" t="s">
        <v>325</v>
      </c>
      <c r="E29" s="54" t="s">
        <v>326</v>
      </c>
      <c r="F29" s="54" t="s">
        <v>115</v>
      </c>
      <c r="G29" s="54" t="s">
        <v>327</v>
      </c>
      <c r="H29" s="54" t="s">
        <v>328</v>
      </c>
      <c r="I29" s="53" t="s">
        <v>329</v>
      </c>
      <c r="J29" s="54" t="s">
        <v>330</v>
      </c>
      <c r="K29" s="53" t="s">
        <v>331</v>
      </c>
      <c r="L29" s="55" t="s">
        <v>8</v>
      </c>
      <c r="M29" s="56" t="n">
        <v>1</v>
      </c>
      <c r="N29" s="57" t="s">
        <v>94</v>
      </c>
      <c r="O29" s="51" t="s">
        <v>95</v>
      </c>
      <c r="P29" s="54"/>
      <c r="Q29" s="54" t="s">
        <v>109</v>
      </c>
      <c r="R29" s="58" t="s">
        <v>110</v>
      </c>
      <c r="S29" s="54" t="s">
        <v>98</v>
      </c>
    </row>
    <row r="30" customFormat="false" ht="35.05" hidden="false" customHeight="false" outlineLevel="0" collapsed="false">
      <c r="A30" s="51" t="s">
        <v>332</v>
      </c>
      <c r="B30" s="51" t="n">
        <v>26</v>
      </c>
      <c r="C30" s="52" t="s">
        <v>333</v>
      </c>
      <c r="D30" s="53" t="s">
        <v>334</v>
      </c>
      <c r="E30" s="54" t="s">
        <v>335</v>
      </c>
      <c r="F30" s="54" t="s">
        <v>115</v>
      </c>
      <c r="G30" s="54" t="s">
        <v>336</v>
      </c>
      <c r="H30" s="54" t="s">
        <v>337</v>
      </c>
      <c r="I30" s="53" t="s">
        <v>338</v>
      </c>
      <c r="J30" s="54" t="s">
        <v>339</v>
      </c>
      <c r="K30" s="53" t="s">
        <v>340</v>
      </c>
      <c r="L30" s="55" t="s">
        <v>8</v>
      </c>
      <c r="M30" s="56" t="n">
        <v>1</v>
      </c>
      <c r="N30" s="57" t="s">
        <v>94</v>
      </c>
      <c r="O30" s="51" t="s">
        <v>95</v>
      </c>
      <c r="P30" s="54"/>
      <c r="Q30" s="54" t="s">
        <v>96</v>
      </c>
      <c r="R30" s="58" t="s">
        <v>97</v>
      </c>
      <c r="S30" s="54" t="s">
        <v>98</v>
      </c>
    </row>
    <row r="31" customFormat="false" ht="35.05" hidden="false" customHeight="false" outlineLevel="0" collapsed="false">
      <c r="A31" s="51" t="s">
        <v>341</v>
      </c>
      <c r="B31" s="51" t="n">
        <v>27</v>
      </c>
      <c r="C31" s="52" t="s">
        <v>342</v>
      </c>
      <c r="D31" s="53" t="s">
        <v>343</v>
      </c>
      <c r="E31" s="54" t="s">
        <v>344</v>
      </c>
      <c r="F31" s="54" t="s">
        <v>137</v>
      </c>
      <c r="G31" s="54" t="s">
        <v>345</v>
      </c>
      <c r="H31" s="54" t="s">
        <v>346</v>
      </c>
      <c r="I31" s="53" t="s">
        <v>347</v>
      </c>
      <c r="J31" s="54" t="s">
        <v>348</v>
      </c>
      <c r="K31" s="53" t="s">
        <v>349</v>
      </c>
      <c r="L31" s="55" t="s">
        <v>8</v>
      </c>
      <c r="M31" s="56" t="n">
        <v>1</v>
      </c>
      <c r="N31" s="57" t="s">
        <v>94</v>
      </c>
      <c r="O31" s="51" t="s">
        <v>95</v>
      </c>
      <c r="P31" s="54"/>
      <c r="Q31" s="54" t="s">
        <v>96</v>
      </c>
      <c r="R31" s="58" t="s">
        <v>97</v>
      </c>
      <c r="S31" s="54" t="s">
        <v>98</v>
      </c>
    </row>
    <row r="32" customFormat="false" ht="46.25" hidden="false" customHeight="false" outlineLevel="0" collapsed="false">
      <c r="A32" s="51" t="s">
        <v>350</v>
      </c>
      <c r="B32" s="51" t="n">
        <v>28</v>
      </c>
      <c r="C32" s="52" t="s">
        <v>351</v>
      </c>
      <c r="D32" s="53" t="s">
        <v>352</v>
      </c>
      <c r="E32" s="54" t="s">
        <v>353</v>
      </c>
      <c r="F32" s="54" t="s">
        <v>115</v>
      </c>
      <c r="G32" s="54" t="s">
        <v>354</v>
      </c>
      <c r="H32" s="54" t="s">
        <v>355</v>
      </c>
      <c r="I32" s="53" t="s">
        <v>356</v>
      </c>
      <c r="J32" s="54" t="s">
        <v>357</v>
      </c>
      <c r="K32" s="53" t="s">
        <v>358</v>
      </c>
      <c r="L32" s="55" t="s">
        <v>8</v>
      </c>
      <c r="M32" s="56" t="n">
        <v>1</v>
      </c>
      <c r="N32" s="57" t="s">
        <v>94</v>
      </c>
      <c r="O32" s="51" t="s">
        <v>95</v>
      </c>
      <c r="P32" s="54"/>
      <c r="Q32" s="54" t="s">
        <v>109</v>
      </c>
      <c r="R32" s="58" t="s">
        <v>110</v>
      </c>
      <c r="S32" s="54" t="s">
        <v>98</v>
      </c>
    </row>
    <row r="33" customFormat="false" ht="46.25" hidden="false" customHeight="false" outlineLevel="0" collapsed="false">
      <c r="A33" s="51" t="s">
        <v>359</v>
      </c>
      <c r="B33" s="51" t="n">
        <v>29</v>
      </c>
      <c r="C33" s="52" t="s">
        <v>360</v>
      </c>
      <c r="D33" s="53" t="s">
        <v>361</v>
      </c>
      <c r="E33" s="54" t="s">
        <v>362</v>
      </c>
      <c r="F33" s="54" t="s">
        <v>125</v>
      </c>
      <c r="G33" s="54" t="s">
        <v>363</v>
      </c>
      <c r="H33" s="54" t="s">
        <v>364</v>
      </c>
      <c r="I33" s="53" t="s">
        <v>365</v>
      </c>
      <c r="J33" s="54" t="s">
        <v>366</v>
      </c>
      <c r="K33" s="53" t="s">
        <v>367</v>
      </c>
      <c r="L33" s="55" t="s">
        <v>8</v>
      </c>
      <c r="M33" s="56" t="n">
        <v>1</v>
      </c>
      <c r="N33" s="57" t="s">
        <v>94</v>
      </c>
      <c r="O33" s="59" t="s">
        <v>161</v>
      </c>
      <c r="P33" s="54" t="s">
        <v>162</v>
      </c>
      <c r="Q33" s="54" t="s">
        <v>109</v>
      </c>
      <c r="R33" s="58" t="s">
        <v>110</v>
      </c>
      <c r="S33" s="54" t="s">
        <v>98</v>
      </c>
    </row>
    <row r="34" customFormat="false" ht="35.05" hidden="false" customHeight="false" outlineLevel="0" collapsed="false">
      <c r="A34" s="51" t="s">
        <v>368</v>
      </c>
      <c r="B34" s="51" t="n">
        <v>30</v>
      </c>
      <c r="C34" s="52" t="s">
        <v>369</v>
      </c>
      <c r="D34" s="53" t="s">
        <v>370</v>
      </c>
      <c r="E34" s="54" t="s">
        <v>371</v>
      </c>
      <c r="F34" s="54" t="s">
        <v>115</v>
      </c>
      <c r="G34" s="54" t="s">
        <v>372</v>
      </c>
      <c r="H34" s="54" t="s">
        <v>373</v>
      </c>
      <c r="I34" s="53" t="s">
        <v>374</v>
      </c>
      <c r="J34" s="54" t="s">
        <v>375</v>
      </c>
      <c r="K34" s="53" t="s">
        <v>376</v>
      </c>
      <c r="L34" s="55" t="s">
        <v>8</v>
      </c>
      <c r="M34" s="56" t="n">
        <v>1</v>
      </c>
      <c r="N34" s="57" t="s">
        <v>94</v>
      </c>
      <c r="O34" s="51" t="s">
        <v>95</v>
      </c>
      <c r="P34" s="54"/>
      <c r="Q34" s="54" t="s">
        <v>131</v>
      </c>
      <c r="R34" s="58" t="s">
        <v>132</v>
      </c>
      <c r="S34" s="54" t="s">
        <v>98</v>
      </c>
    </row>
    <row r="35" customFormat="false" ht="35.05" hidden="false" customHeight="false" outlineLevel="0" collapsed="false">
      <c r="A35" s="51" t="s">
        <v>377</v>
      </c>
      <c r="B35" s="51" t="n">
        <v>31</v>
      </c>
      <c r="C35" s="52" t="s">
        <v>378</v>
      </c>
      <c r="D35" s="53" t="s">
        <v>379</v>
      </c>
      <c r="E35" s="54" t="s">
        <v>380</v>
      </c>
      <c r="F35" s="54" t="s">
        <v>381</v>
      </c>
      <c r="G35" s="54" t="s">
        <v>382</v>
      </c>
      <c r="H35" s="54" t="s">
        <v>383</v>
      </c>
      <c r="I35" s="53" t="s">
        <v>384</v>
      </c>
      <c r="J35" s="54" t="s">
        <v>385</v>
      </c>
      <c r="K35" s="53" t="s">
        <v>386</v>
      </c>
      <c r="L35" s="55" t="s">
        <v>8</v>
      </c>
      <c r="M35" s="56" t="n">
        <v>1</v>
      </c>
      <c r="N35" s="57" t="s">
        <v>94</v>
      </c>
      <c r="O35" s="51" t="s">
        <v>95</v>
      </c>
      <c r="P35" s="54"/>
      <c r="Q35" s="54" t="s">
        <v>96</v>
      </c>
      <c r="R35" s="58" t="s">
        <v>97</v>
      </c>
      <c r="S35" s="54" t="s">
        <v>98</v>
      </c>
    </row>
    <row r="36" customFormat="false" ht="35.05" hidden="false" customHeight="false" outlineLevel="0" collapsed="false">
      <c r="A36" s="51" t="s">
        <v>387</v>
      </c>
      <c r="B36" s="51" t="n">
        <v>32</v>
      </c>
      <c r="C36" s="52" t="s">
        <v>388</v>
      </c>
      <c r="D36" s="53" t="s">
        <v>389</v>
      </c>
      <c r="E36" s="54" t="s">
        <v>390</v>
      </c>
      <c r="F36" s="54" t="s">
        <v>391</v>
      </c>
      <c r="G36" s="54" t="s">
        <v>392</v>
      </c>
      <c r="H36" s="54" t="s">
        <v>393</v>
      </c>
      <c r="I36" s="53" t="s">
        <v>394</v>
      </c>
      <c r="J36" s="54" t="s">
        <v>395</v>
      </c>
      <c r="K36" s="53" t="s">
        <v>396</v>
      </c>
      <c r="L36" s="55" t="s">
        <v>8</v>
      </c>
      <c r="M36" s="56" t="n">
        <v>1</v>
      </c>
      <c r="N36" s="57" t="s">
        <v>94</v>
      </c>
      <c r="O36" s="51" t="s">
        <v>95</v>
      </c>
      <c r="P36" s="54"/>
      <c r="Q36" s="54" t="s">
        <v>96</v>
      </c>
      <c r="R36" s="58" t="s">
        <v>97</v>
      </c>
      <c r="S36" s="54" t="s">
        <v>98</v>
      </c>
    </row>
    <row r="37" customFormat="false" ht="35.05" hidden="false" customHeight="false" outlineLevel="0" collapsed="false">
      <c r="A37" s="51" t="s">
        <v>397</v>
      </c>
      <c r="B37" s="51" t="n">
        <v>33</v>
      </c>
      <c r="C37" s="52" t="s">
        <v>398</v>
      </c>
      <c r="D37" s="53" t="s">
        <v>399</v>
      </c>
      <c r="E37" s="54" t="s">
        <v>400</v>
      </c>
      <c r="F37" s="54" t="s">
        <v>88</v>
      </c>
      <c r="G37" s="54" t="s">
        <v>401</v>
      </c>
      <c r="H37" s="54" t="s">
        <v>402</v>
      </c>
      <c r="I37" s="53" t="s">
        <v>403</v>
      </c>
      <c r="J37" s="54" t="s">
        <v>404</v>
      </c>
      <c r="K37" s="53" t="s">
        <v>405</v>
      </c>
      <c r="L37" s="55" t="s">
        <v>8</v>
      </c>
      <c r="M37" s="56" t="n">
        <v>1</v>
      </c>
      <c r="N37" s="57" t="s">
        <v>94</v>
      </c>
      <c r="O37" s="51" t="s">
        <v>95</v>
      </c>
      <c r="P37" s="54"/>
      <c r="Q37" s="54" t="s">
        <v>96</v>
      </c>
      <c r="R37" s="58" t="s">
        <v>97</v>
      </c>
      <c r="S37" s="54" t="s">
        <v>98</v>
      </c>
    </row>
    <row r="38" customFormat="false" ht="46.25" hidden="false" customHeight="false" outlineLevel="0" collapsed="false">
      <c r="A38" s="51" t="s">
        <v>406</v>
      </c>
      <c r="B38" s="51" t="n">
        <v>34</v>
      </c>
      <c r="C38" s="52" t="s">
        <v>407</v>
      </c>
      <c r="D38" s="53" t="s">
        <v>408</v>
      </c>
      <c r="E38" s="54" t="s">
        <v>409</v>
      </c>
      <c r="F38" s="54" t="s">
        <v>125</v>
      </c>
      <c r="G38" s="54" t="s">
        <v>410</v>
      </c>
      <c r="H38" s="54" t="s">
        <v>411</v>
      </c>
      <c r="I38" s="53" t="s">
        <v>412</v>
      </c>
      <c r="J38" s="54" t="s">
        <v>413</v>
      </c>
      <c r="K38" s="53" t="s">
        <v>414</v>
      </c>
      <c r="L38" s="55" t="s">
        <v>8</v>
      </c>
      <c r="M38" s="56" t="n">
        <v>1</v>
      </c>
      <c r="N38" s="57" t="s">
        <v>94</v>
      </c>
      <c r="O38" s="51" t="s">
        <v>95</v>
      </c>
      <c r="P38" s="54"/>
      <c r="Q38" s="54" t="s">
        <v>109</v>
      </c>
      <c r="R38" s="58" t="s">
        <v>110</v>
      </c>
      <c r="S38" s="54" t="s">
        <v>98</v>
      </c>
    </row>
    <row r="39" customFormat="false" ht="46.25" hidden="false" customHeight="false" outlineLevel="0" collapsed="false">
      <c r="A39" s="51" t="s">
        <v>415</v>
      </c>
      <c r="B39" s="51" t="n">
        <v>35</v>
      </c>
      <c r="C39" s="52" t="s">
        <v>416</v>
      </c>
      <c r="D39" s="53" t="s">
        <v>417</v>
      </c>
      <c r="E39" s="54" t="s">
        <v>418</v>
      </c>
      <c r="F39" s="54" t="s">
        <v>115</v>
      </c>
      <c r="G39" s="54" t="s">
        <v>419</v>
      </c>
      <c r="H39" s="54" t="s">
        <v>420</v>
      </c>
      <c r="I39" s="53" t="s">
        <v>421</v>
      </c>
      <c r="J39" s="54" t="s">
        <v>422</v>
      </c>
      <c r="K39" s="53" t="s">
        <v>423</v>
      </c>
      <c r="L39" s="55" t="s">
        <v>8</v>
      </c>
      <c r="M39" s="56" t="n">
        <v>1</v>
      </c>
      <c r="N39" s="57" t="s">
        <v>94</v>
      </c>
      <c r="O39" s="51" t="s">
        <v>95</v>
      </c>
      <c r="P39" s="54"/>
      <c r="Q39" s="54" t="s">
        <v>109</v>
      </c>
      <c r="R39" s="58" t="s">
        <v>110</v>
      </c>
      <c r="S39" s="54" t="s">
        <v>98</v>
      </c>
    </row>
    <row r="40" customFormat="false" ht="35.05" hidden="false" customHeight="false" outlineLevel="0" collapsed="false">
      <c r="A40" s="51" t="s">
        <v>424</v>
      </c>
      <c r="B40" s="51" t="n">
        <v>36</v>
      </c>
      <c r="C40" s="52" t="s">
        <v>125</v>
      </c>
      <c r="D40" s="53" t="s">
        <v>425</v>
      </c>
      <c r="E40" s="54" t="s">
        <v>426</v>
      </c>
      <c r="F40" s="54" t="s">
        <v>125</v>
      </c>
      <c r="G40" s="54" t="s">
        <v>427</v>
      </c>
      <c r="H40" s="54" t="s">
        <v>428</v>
      </c>
      <c r="I40" s="53" t="s">
        <v>429</v>
      </c>
      <c r="J40" s="54" t="s">
        <v>430</v>
      </c>
      <c r="K40" s="53" t="s">
        <v>431</v>
      </c>
      <c r="L40" s="55" t="s">
        <v>8</v>
      </c>
      <c r="M40" s="56" t="n">
        <v>1</v>
      </c>
      <c r="N40" s="57" t="s">
        <v>94</v>
      </c>
      <c r="O40" s="51" t="s">
        <v>95</v>
      </c>
      <c r="P40" s="54"/>
      <c r="Q40" s="54" t="s">
        <v>131</v>
      </c>
      <c r="R40" s="58" t="s">
        <v>132</v>
      </c>
      <c r="S40" s="54" t="s">
        <v>98</v>
      </c>
    </row>
    <row r="41" customFormat="false" ht="46.25" hidden="false" customHeight="false" outlineLevel="0" collapsed="false">
      <c r="A41" s="51" t="s">
        <v>432</v>
      </c>
      <c r="B41" s="51" t="n">
        <v>37</v>
      </c>
      <c r="C41" s="52" t="s">
        <v>433</v>
      </c>
      <c r="D41" s="53" t="s">
        <v>434</v>
      </c>
      <c r="E41" s="54" t="s">
        <v>435</v>
      </c>
      <c r="F41" s="54" t="s">
        <v>222</v>
      </c>
      <c r="G41" s="54" t="s">
        <v>436</v>
      </c>
      <c r="H41" s="54" t="s">
        <v>437</v>
      </c>
      <c r="I41" s="53" t="s">
        <v>438</v>
      </c>
      <c r="J41" s="54" t="s">
        <v>439</v>
      </c>
      <c r="K41" s="53" t="s">
        <v>440</v>
      </c>
      <c r="L41" s="55" t="s">
        <v>8</v>
      </c>
      <c r="M41" s="56" t="n">
        <v>1</v>
      </c>
      <c r="N41" s="57" t="s">
        <v>94</v>
      </c>
      <c r="O41" s="51" t="s">
        <v>95</v>
      </c>
      <c r="P41" s="54"/>
      <c r="Q41" s="54" t="s">
        <v>441</v>
      </c>
      <c r="R41" s="58" t="s">
        <v>442</v>
      </c>
      <c r="S41" s="54" t="s">
        <v>98</v>
      </c>
    </row>
    <row r="42" customFormat="false" ht="35.05" hidden="false" customHeight="false" outlineLevel="0" collapsed="false">
      <c r="A42" s="51" t="s">
        <v>443</v>
      </c>
      <c r="B42" s="51" t="n">
        <v>38</v>
      </c>
      <c r="C42" s="52" t="s">
        <v>444</v>
      </c>
      <c r="D42" s="53" t="s">
        <v>445</v>
      </c>
      <c r="E42" s="54" t="s">
        <v>446</v>
      </c>
      <c r="F42" s="54" t="s">
        <v>115</v>
      </c>
      <c r="G42" s="54" t="s">
        <v>447</v>
      </c>
      <c r="H42" s="54" t="s">
        <v>448</v>
      </c>
      <c r="I42" s="53" t="s">
        <v>449</v>
      </c>
      <c r="J42" s="54" t="s">
        <v>450</v>
      </c>
      <c r="K42" s="53" t="s">
        <v>451</v>
      </c>
      <c r="L42" s="55" t="s">
        <v>8</v>
      </c>
      <c r="M42" s="56" t="n">
        <v>1</v>
      </c>
      <c r="N42" s="57" t="s">
        <v>94</v>
      </c>
      <c r="O42" s="51" t="s">
        <v>95</v>
      </c>
      <c r="P42" s="54"/>
      <c r="Q42" s="54" t="s">
        <v>131</v>
      </c>
      <c r="R42" s="58" t="s">
        <v>132</v>
      </c>
      <c r="S42" s="54" t="s">
        <v>98</v>
      </c>
    </row>
    <row r="43" customFormat="false" ht="35.05" hidden="false" customHeight="false" outlineLevel="0" collapsed="false">
      <c r="A43" s="51" t="s">
        <v>452</v>
      </c>
      <c r="B43" s="51" t="n">
        <v>39</v>
      </c>
      <c r="C43" s="52" t="s">
        <v>453</v>
      </c>
      <c r="D43" s="53" t="s">
        <v>454</v>
      </c>
      <c r="E43" s="54" t="s">
        <v>455</v>
      </c>
      <c r="F43" s="54" t="s">
        <v>391</v>
      </c>
      <c r="G43" s="54" t="s">
        <v>456</v>
      </c>
      <c r="H43" s="54" t="s">
        <v>457</v>
      </c>
      <c r="I43" s="53" t="s">
        <v>458</v>
      </c>
      <c r="J43" s="54" t="s">
        <v>459</v>
      </c>
      <c r="K43" s="53" t="s">
        <v>460</v>
      </c>
      <c r="L43" s="55" t="s">
        <v>8</v>
      </c>
      <c r="M43" s="56" t="n">
        <v>1</v>
      </c>
      <c r="N43" s="57" t="s">
        <v>94</v>
      </c>
      <c r="O43" s="51" t="s">
        <v>95</v>
      </c>
      <c r="P43" s="54"/>
      <c r="Q43" s="54" t="s">
        <v>96</v>
      </c>
      <c r="R43" s="58" t="s">
        <v>97</v>
      </c>
      <c r="S43" s="54" t="s">
        <v>98</v>
      </c>
    </row>
    <row r="44" customFormat="false" ht="46.25" hidden="false" customHeight="false" outlineLevel="0" collapsed="false">
      <c r="A44" s="51" t="s">
        <v>461</v>
      </c>
      <c r="B44" s="51" t="n">
        <v>40</v>
      </c>
      <c r="C44" s="52" t="s">
        <v>462</v>
      </c>
      <c r="D44" s="53" t="s">
        <v>463</v>
      </c>
      <c r="E44" s="54" t="s">
        <v>464</v>
      </c>
      <c r="F44" s="54" t="s">
        <v>88</v>
      </c>
      <c r="G44" s="54" t="s">
        <v>465</v>
      </c>
      <c r="H44" s="54" t="s">
        <v>466</v>
      </c>
      <c r="I44" s="53" t="s">
        <v>467</v>
      </c>
      <c r="J44" s="54" t="s">
        <v>468</v>
      </c>
      <c r="K44" s="53" t="s">
        <v>469</v>
      </c>
      <c r="L44" s="55" t="s">
        <v>8</v>
      </c>
      <c r="M44" s="56" t="n">
        <v>1</v>
      </c>
      <c r="N44" s="57" t="s">
        <v>94</v>
      </c>
      <c r="O44" s="51" t="s">
        <v>95</v>
      </c>
      <c r="P44" s="54"/>
      <c r="Q44" s="54" t="s">
        <v>109</v>
      </c>
      <c r="R44" s="58" t="s">
        <v>110</v>
      </c>
      <c r="S44" s="54" t="s">
        <v>98</v>
      </c>
    </row>
    <row r="45" customFormat="false" ht="46.25" hidden="false" customHeight="false" outlineLevel="0" collapsed="false">
      <c r="A45" s="51" t="s">
        <v>470</v>
      </c>
      <c r="B45" s="51" t="n">
        <v>41</v>
      </c>
      <c r="C45" s="52" t="s">
        <v>471</v>
      </c>
      <c r="D45" s="53" t="s">
        <v>472</v>
      </c>
      <c r="E45" s="54" t="s">
        <v>473</v>
      </c>
      <c r="F45" s="54" t="s">
        <v>103</v>
      </c>
      <c r="G45" s="54" t="s">
        <v>474</v>
      </c>
      <c r="H45" s="54" t="s">
        <v>475</v>
      </c>
      <c r="I45" s="53" t="s">
        <v>476</v>
      </c>
      <c r="J45" s="54" t="s">
        <v>477</v>
      </c>
      <c r="K45" s="53" t="s">
        <v>478</v>
      </c>
      <c r="L45" s="55" t="s">
        <v>8</v>
      </c>
      <c r="M45" s="56" t="n">
        <v>1</v>
      </c>
      <c r="N45" s="57" t="s">
        <v>94</v>
      </c>
      <c r="O45" s="51" t="s">
        <v>95</v>
      </c>
      <c r="P45" s="54"/>
      <c r="Q45" s="54" t="s">
        <v>109</v>
      </c>
      <c r="R45" s="58" t="s">
        <v>110</v>
      </c>
      <c r="S45" s="54" t="s">
        <v>98</v>
      </c>
    </row>
    <row r="46" customFormat="false" ht="35.05" hidden="false" customHeight="false" outlineLevel="0" collapsed="false">
      <c r="A46" s="51" t="s">
        <v>479</v>
      </c>
      <c r="B46" s="51" t="n">
        <v>42</v>
      </c>
      <c r="C46" s="52" t="s">
        <v>480</v>
      </c>
      <c r="D46" s="53" t="s">
        <v>481</v>
      </c>
      <c r="E46" s="54" t="s">
        <v>482</v>
      </c>
      <c r="F46" s="54" t="s">
        <v>115</v>
      </c>
      <c r="G46" s="54" t="s">
        <v>483</v>
      </c>
      <c r="H46" s="54" t="s">
        <v>484</v>
      </c>
      <c r="I46" s="53" t="s">
        <v>485</v>
      </c>
      <c r="J46" s="54" t="s">
        <v>486</v>
      </c>
      <c r="K46" s="53" t="s">
        <v>487</v>
      </c>
      <c r="L46" s="55" t="s">
        <v>8</v>
      </c>
      <c r="M46" s="56" t="n">
        <v>1</v>
      </c>
      <c r="N46" s="57" t="s">
        <v>94</v>
      </c>
      <c r="O46" s="51" t="s">
        <v>95</v>
      </c>
      <c r="P46" s="54"/>
      <c r="Q46" s="54" t="s">
        <v>131</v>
      </c>
      <c r="R46" s="58" t="s">
        <v>132</v>
      </c>
      <c r="S46" s="54" t="s">
        <v>98</v>
      </c>
    </row>
    <row r="47" customFormat="false" ht="35.05" hidden="false" customHeight="false" outlineLevel="0" collapsed="false">
      <c r="A47" s="51" t="s">
        <v>488</v>
      </c>
      <c r="B47" s="51" t="n">
        <v>43</v>
      </c>
      <c r="C47" s="52" t="s">
        <v>489</v>
      </c>
      <c r="D47" s="53" t="s">
        <v>490</v>
      </c>
      <c r="E47" s="54" t="s">
        <v>491</v>
      </c>
      <c r="F47" s="54" t="s">
        <v>115</v>
      </c>
      <c r="G47" s="54" t="s">
        <v>492</v>
      </c>
      <c r="H47" s="54" t="s">
        <v>493</v>
      </c>
      <c r="I47" s="53" t="s">
        <v>494</v>
      </c>
      <c r="J47" s="54" t="s">
        <v>495</v>
      </c>
      <c r="K47" s="53" t="s">
        <v>496</v>
      </c>
      <c r="L47" s="55" t="s">
        <v>8</v>
      </c>
      <c r="M47" s="56" t="n">
        <v>1</v>
      </c>
      <c r="N47" s="57" t="s">
        <v>94</v>
      </c>
      <c r="O47" s="51" t="s">
        <v>95</v>
      </c>
      <c r="P47" s="54"/>
      <c r="Q47" s="54" t="s">
        <v>96</v>
      </c>
      <c r="R47" s="58" t="s">
        <v>97</v>
      </c>
      <c r="S47" s="54" t="s">
        <v>98</v>
      </c>
    </row>
    <row r="48" customFormat="false" ht="46.25" hidden="false" customHeight="false" outlineLevel="0" collapsed="false">
      <c r="A48" s="51" t="s">
        <v>497</v>
      </c>
      <c r="B48" s="51" t="n">
        <v>44</v>
      </c>
      <c r="C48" s="52" t="s">
        <v>498</v>
      </c>
      <c r="D48" s="53" t="s">
        <v>499</v>
      </c>
      <c r="E48" s="54" t="s">
        <v>500</v>
      </c>
      <c r="F48" s="54" t="s">
        <v>222</v>
      </c>
      <c r="G48" s="54" t="s">
        <v>501</v>
      </c>
      <c r="H48" s="54" t="s">
        <v>502</v>
      </c>
      <c r="I48" s="53" t="s">
        <v>503</v>
      </c>
      <c r="J48" s="54" t="s">
        <v>504</v>
      </c>
      <c r="K48" s="53" t="s">
        <v>505</v>
      </c>
      <c r="L48" s="55" t="s">
        <v>8</v>
      </c>
      <c r="M48" s="56" t="n">
        <v>1</v>
      </c>
      <c r="N48" s="57" t="s">
        <v>94</v>
      </c>
      <c r="O48" s="51" t="s">
        <v>95</v>
      </c>
      <c r="P48" s="54"/>
      <c r="Q48" s="54" t="s">
        <v>109</v>
      </c>
      <c r="R48" s="58" t="s">
        <v>110</v>
      </c>
      <c r="S48" s="54" t="s">
        <v>506</v>
      </c>
    </row>
    <row r="49" customFormat="false" ht="35.05" hidden="false" customHeight="false" outlineLevel="0" collapsed="false">
      <c r="A49" s="51" t="s">
        <v>507</v>
      </c>
      <c r="B49" s="51" t="n">
        <v>45</v>
      </c>
      <c r="C49" s="52" t="s">
        <v>508</v>
      </c>
      <c r="D49" s="53" t="s">
        <v>509</v>
      </c>
      <c r="E49" s="54" t="s">
        <v>510</v>
      </c>
      <c r="F49" s="54" t="s">
        <v>222</v>
      </c>
      <c r="G49" s="54" t="s">
        <v>511</v>
      </c>
      <c r="H49" s="54" t="s">
        <v>512</v>
      </c>
      <c r="I49" s="53" t="s">
        <v>513</v>
      </c>
      <c r="J49" s="54" t="s">
        <v>514</v>
      </c>
      <c r="K49" s="53" t="s">
        <v>515</v>
      </c>
      <c r="L49" s="55" t="s">
        <v>8</v>
      </c>
      <c r="M49" s="56" t="n">
        <v>1</v>
      </c>
      <c r="N49" s="57" t="s">
        <v>94</v>
      </c>
      <c r="O49" s="51" t="s">
        <v>95</v>
      </c>
      <c r="P49" s="54"/>
      <c r="Q49" s="54" t="s">
        <v>516</v>
      </c>
      <c r="R49" s="58" t="s">
        <v>517</v>
      </c>
      <c r="S49" s="54" t="s">
        <v>98</v>
      </c>
    </row>
    <row r="50" customFormat="false" ht="35.05" hidden="false" customHeight="false" outlineLevel="0" collapsed="false">
      <c r="A50" s="51" t="s">
        <v>518</v>
      </c>
      <c r="B50" s="51" t="n">
        <v>46</v>
      </c>
      <c r="C50" s="52" t="s">
        <v>519</v>
      </c>
      <c r="D50" s="53" t="s">
        <v>520</v>
      </c>
      <c r="E50" s="54" t="s">
        <v>521</v>
      </c>
      <c r="F50" s="54" t="s">
        <v>125</v>
      </c>
      <c r="G50" s="54" t="s">
        <v>522</v>
      </c>
      <c r="H50" s="54" t="s">
        <v>523</v>
      </c>
      <c r="I50" s="53" t="s">
        <v>524</v>
      </c>
      <c r="J50" s="54" t="s">
        <v>525</v>
      </c>
      <c r="K50" s="53" t="s">
        <v>526</v>
      </c>
      <c r="L50" s="55" t="s">
        <v>8</v>
      </c>
      <c r="M50" s="56" t="n">
        <v>1</v>
      </c>
      <c r="N50" s="57" t="s">
        <v>94</v>
      </c>
      <c r="O50" s="51" t="s">
        <v>95</v>
      </c>
      <c r="P50" s="54"/>
      <c r="Q50" s="54" t="s">
        <v>131</v>
      </c>
      <c r="R50" s="58" t="s">
        <v>132</v>
      </c>
      <c r="S50" s="54" t="s">
        <v>98</v>
      </c>
    </row>
    <row r="51" customFormat="false" ht="35.05" hidden="false" customHeight="false" outlineLevel="0" collapsed="false">
      <c r="A51" s="51" t="s">
        <v>527</v>
      </c>
      <c r="B51" s="51" t="n">
        <v>47</v>
      </c>
      <c r="C51" s="52" t="s">
        <v>528</v>
      </c>
      <c r="D51" s="53" t="s">
        <v>529</v>
      </c>
      <c r="E51" s="54" t="s">
        <v>530</v>
      </c>
      <c r="F51" s="54" t="s">
        <v>88</v>
      </c>
      <c r="G51" s="54" t="s">
        <v>531</v>
      </c>
      <c r="H51" s="54" t="s">
        <v>532</v>
      </c>
      <c r="I51" s="53" t="s">
        <v>533</v>
      </c>
      <c r="J51" s="54" t="s">
        <v>534</v>
      </c>
      <c r="K51" s="53" t="s">
        <v>535</v>
      </c>
      <c r="L51" s="55" t="s">
        <v>8</v>
      </c>
      <c r="M51" s="56" t="n">
        <v>1</v>
      </c>
      <c r="N51" s="57" t="s">
        <v>94</v>
      </c>
      <c r="O51" s="51" t="s">
        <v>95</v>
      </c>
      <c r="P51" s="54"/>
      <c r="Q51" s="54" t="s">
        <v>96</v>
      </c>
      <c r="R51" s="58" t="s">
        <v>97</v>
      </c>
      <c r="S51" s="54" t="s">
        <v>98</v>
      </c>
    </row>
    <row r="52" customFormat="false" ht="35.05" hidden="false" customHeight="false" outlineLevel="0" collapsed="false">
      <c r="A52" s="51" t="s">
        <v>536</v>
      </c>
      <c r="B52" s="51" t="n">
        <v>48</v>
      </c>
      <c r="C52" s="52" t="s">
        <v>537</v>
      </c>
      <c r="D52" s="53" t="s">
        <v>529</v>
      </c>
      <c r="E52" s="54" t="s">
        <v>538</v>
      </c>
      <c r="F52" s="54" t="s">
        <v>88</v>
      </c>
      <c r="G52" s="54" t="s">
        <v>539</v>
      </c>
      <c r="H52" s="54" t="s">
        <v>540</v>
      </c>
      <c r="I52" s="53" t="s">
        <v>541</v>
      </c>
      <c r="J52" s="54" t="s">
        <v>542</v>
      </c>
      <c r="K52" s="53" t="s">
        <v>543</v>
      </c>
      <c r="L52" s="55" t="s">
        <v>8</v>
      </c>
      <c r="M52" s="56" t="n">
        <v>1</v>
      </c>
      <c r="N52" s="57" t="s">
        <v>94</v>
      </c>
      <c r="O52" s="51" t="s">
        <v>95</v>
      </c>
      <c r="P52" s="54"/>
      <c r="Q52" s="54" t="s">
        <v>131</v>
      </c>
      <c r="R52" s="58" t="s">
        <v>132</v>
      </c>
      <c r="S52" s="54" t="s">
        <v>98</v>
      </c>
    </row>
    <row r="53" customFormat="false" ht="46.25" hidden="false" customHeight="false" outlineLevel="0" collapsed="false">
      <c r="A53" s="51" t="s">
        <v>544</v>
      </c>
      <c r="B53" s="51" t="n">
        <v>49</v>
      </c>
      <c r="C53" s="52" t="s">
        <v>545</v>
      </c>
      <c r="D53" s="53" t="s">
        <v>546</v>
      </c>
      <c r="E53" s="54" t="s">
        <v>547</v>
      </c>
      <c r="F53" s="54" t="s">
        <v>548</v>
      </c>
      <c r="G53" s="54" t="s">
        <v>549</v>
      </c>
      <c r="H53" s="54" t="s">
        <v>550</v>
      </c>
      <c r="I53" s="53" t="s">
        <v>551</v>
      </c>
      <c r="J53" s="54" t="s">
        <v>552</v>
      </c>
      <c r="K53" s="53" t="s">
        <v>553</v>
      </c>
      <c r="L53" s="55" t="s">
        <v>8</v>
      </c>
      <c r="M53" s="56" t="n">
        <v>1</v>
      </c>
      <c r="N53" s="57" t="s">
        <v>94</v>
      </c>
      <c r="O53" s="59" t="s">
        <v>161</v>
      </c>
      <c r="P53" s="54" t="s">
        <v>554</v>
      </c>
      <c r="Q53" s="54" t="s">
        <v>109</v>
      </c>
      <c r="R53" s="58" t="s">
        <v>110</v>
      </c>
      <c r="S53" s="54" t="s">
        <v>98</v>
      </c>
    </row>
    <row r="54" customFormat="false" ht="35.05" hidden="false" customHeight="false" outlineLevel="0" collapsed="false">
      <c r="A54" s="51" t="s">
        <v>555</v>
      </c>
      <c r="B54" s="51" t="n">
        <v>50</v>
      </c>
      <c r="C54" s="52" t="s">
        <v>556</v>
      </c>
      <c r="D54" s="53" t="s">
        <v>557</v>
      </c>
      <c r="E54" s="54" t="s">
        <v>558</v>
      </c>
      <c r="F54" s="54" t="s">
        <v>125</v>
      </c>
      <c r="G54" s="54" t="s">
        <v>559</v>
      </c>
      <c r="H54" s="54" t="s">
        <v>560</v>
      </c>
      <c r="I54" s="53" t="s">
        <v>561</v>
      </c>
      <c r="J54" s="54" t="s">
        <v>562</v>
      </c>
      <c r="K54" s="53" t="s">
        <v>563</v>
      </c>
      <c r="L54" s="55" t="s">
        <v>8</v>
      </c>
      <c r="M54" s="56" t="n">
        <v>1</v>
      </c>
      <c r="N54" s="57" t="s">
        <v>94</v>
      </c>
      <c r="O54" s="51" t="s">
        <v>95</v>
      </c>
      <c r="P54" s="54"/>
      <c r="Q54" s="54" t="s">
        <v>131</v>
      </c>
      <c r="R54" s="58" t="s">
        <v>132</v>
      </c>
      <c r="S54" s="54" t="s">
        <v>98</v>
      </c>
    </row>
    <row r="55" customFormat="false" ht="35.05" hidden="false" customHeight="false" outlineLevel="0" collapsed="false">
      <c r="A55" s="51" t="s">
        <v>564</v>
      </c>
      <c r="B55" s="51" t="n">
        <v>51</v>
      </c>
      <c r="C55" s="52" t="s">
        <v>565</v>
      </c>
      <c r="D55" s="53" t="s">
        <v>566</v>
      </c>
      <c r="E55" s="54" t="s">
        <v>567</v>
      </c>
      <c r="F55" s="54" t="s">
        <v>249</v>
      </c>
      <c r="G55" s="54" t="s">
        <v>568</v>
      </c>
      <c r="H55" s="54" t="s">
        <v>569</v>
      </c>
      <c r="I55" s="53" t="s">
        <v>570</v>
      </c>
      <c r="J55" s="54" t="s">
        <v>571</v>
      </c>
      <c r="K55" s="53" t="s">
        <v>572</v>
      </c>
      <c r="L55" s="55" t="s">
        <v>8</v>
      </c>
      <c r="M55" s="56" t="n">
        <v>1</v>
      </c>
      <c r="N55" s="57" t="s">
        <v>94</v>
      </c>
      <c r="O55" s="59" t="s">
        <v>161</v>
      </c>
      <c r="P55" s="54" t="s">
        <v>573</v>
      </c>
      <c r="Q55" s="54" t="s">
        <v>96</v>
      </c>
      <c r="R55" s="58" t="s">
        <v>97</v>
      </c>
      <c r="S55" s="54" t="s">
        <v>98</v>
      </c>
    </row>
    <row r="56" customFormat="false" ht="46.25" hidden="false" customHeight="false" outlineLevel="0" collapsed="false">
      <c r="A56" s="51" t="s">
        <v>574</v>
      </c>
      <c r="B56" s="51" t="n">
        <v>52</v>
      </c>
      <c r="C56" s="52" t="s">
        <v>575</v>
      </c>
      <c r="D56" s="53" t="s">
        <v>576</v>
      </c>
      <c r="E56" s="54" t="s">
        <v>577</v>
      </c>
      <c r="F56" s="54" t="s">
        <v>103</v>
      </c>
      <c r="G56" s="54" t="s">
        <v>578</v>
      </c>
      <c r="H56" s="54" t="s">
        <v>579</v>
      </c>
      <c r="I56" s="53" t="s">
        <v>580</v>
      </c>
      <c r="J56" s="54" t="s">
        <v>581</v>
      </c>
      <c r="K56" s="53" t="s">
        <v>582</v>
      </c>
      <c r="L56" s="55" t="s">
        <v>8</v>
      </c>
      <c r="M56" s="56" t="n">
        <v>1</v>
      </c>
      <c r="N56" s="57" t="s">
        <v>94</v>
      </c>
      <c r="O56" s="51" t="s">
        <v>95</v>
      </c>
      <c r="P56" s="54"/>
      <c r="Q56" s="54" t="s">
        <v>109</v>
      </c>
      <c r="R56" s="58" t="s">
        <v>110</v>
      </c>
      <c r="S56" s="54" t="s">
        <v>98</v>
      </c>
    </row>
    <row r="57" customFormat="false" ht="35.05" hidden="false" customHeight="false" outlineLevel="0" collapsed="false">
      <c r="A57" s="51" t="s">
        <v>583</v>
      </c>
      <c r="B57" s="51" t="n">
        <v>53</v>
      </c>
      <c r="C57" s="52" t="s">
        <v>584</v>
      </c>
      <c r="D57" s="53" t="s">
        <v>585</v>
      </c>
      <c r="E57" s="54" t="s">
        <v>586</v>
      </c>
      <c r="F57" s="54" t="s">
        <v>222</v>
      </c>
      <c r="G57" s="54" t="s">
        <v>587</v>
      </c>
      <c r="H57" s="54" t="s">
        <v>588</v>
      </c>
      <c r="I57" s="53" t="s">
        <v>589</v>
      </c>
      <c r="J57" s="54" t="s">
        <v>590</v>
      </c>
      <c r="K57" s="53" t="s">
        <v>591</v>
      </c>
      <c r="L57" s="55" t="s">
        <v>8</v>
      </c>
      <c r="M57" s="56" t="n">
        <v>1</v>
      </c>
      <c r="N57" s="57" t="s">
        <v>94</v>
      </c>
      <c r="O57" s="51" t="s">
        <v>95</v>
      </c>
      <c r="P57" s="54"/>
      <c r="Q57" s="54" t="s">
        <v>96</v>
      </c>
      <c r="R57" s="58" t="s">
        <v>97</v>
      </c>
      <c r="S57" s="54" t="s">
        <v>98</v>
      </c>
    </row>
    <row r="58" customFormat="false" ht="35.05" hidden="false" customHeight="false" outlineLevel="0" collapsed="false">
      <c r="A58" s="51" t="s">
        <v>592</v>
      </c>
      <c r="B58" s="51" t="n">
        <v>54</v>
      </c>
      <c r="C58" s="52" t="s">
        <v>593</v>
      </c>
      <c r="D58" s="53" t="s">
        <v>594</v>
      </c>
      <c r="E58" s="54" t="s">
        <v>595</v>
      </c>
      <c r="F58" s="54" t="s">
        <v>261</v>
      </c>
      <c r="G58" s="54" t="s">
        <v>596</v>
      </c>
      <c r="H58" s="54" t="s">
        <v>597</v>
      </c>
      <c r="I58" s="53" t="s">
        <v>598</v>
      </c>
      <c r="J58" s="54" t="s">
        <v>599</v>
      </c>
      <c r="K58" s="53" t="s">
        <v>600</v>
      </c>
      <c r="L58" s="55" t="s">
        <v>8</v>
      </c>
      <c r="M58" s="56" t="n">
        <v>1</v>
      </c>
      <c r="N58" s="57" t="s">
        <v>94</v>
      </c>
      <c r="O58" s="51" t="s">
        <v>95</v>
      </c>
      <c r="P58" s="54"/>
      <c r="Q58" s="54" t="s">
        <v>131</v>
      </c>
      <c r="R58" s="58" t="s">
        <v>132</v>
      </c>
      <c r="S58" s="54" t="s">
        <v>98</v>
      </c>
    </row>
    <row r="59" customFormat="false" ht="35.05" hidden="false" customHeight="false" outlineLevel="0" collapsed="false">
      <c r="A59" s="51" t="s">
        <v>601</v>
      </c>
      <c r="B59" s="51" t="n">
        <v>55</v>
      </c>
      <c r="C59" s="52" t="s">
        <v>602</v>
      </c>
      <c r="D59" s="53" t="s">
        <v>603</v>
      </c>
      <c r="E59" s="54" t="s">
        <v>604</v>
      </c>
      <c r="F59" s="54" t="s">
        <v>88</v>
      </c>
      <c r="G59" s="54" t="s">
        <v>605</v>
      </c>
      <c r="H59" s="54" t="s">
        <v>606</v>
      </c>
      <c r="I59" s="53" t="s">
        <v>607</v>
      </c>
      <c r="J59" s="54" t="s">
        <v>608</v>
      </c>
      <c r="K59" s="53" t="s">
        <v>609</v>
      </c>
      <c r="L59" s="55" t="s">
        <v>8</v>
      </c>
      <c r="M59" s="56" t="n">
        <v>1</v>
      </c>
      <c r="N59" s="57" t="s">
        <v>94</v>
      </c>
      <c r="O59" s="51" t="s">
        <v>95</v>
      </c>
      <c r="P59" s="54"/>
      <c r="Q59" s="54" t="s">
        <v>96</v>
      </c>
      <c r="R59" s="58" t="s">
        <v>97</v>
      </c>
      <c r="S59" s="54" t="s">
        <v>98</v>
      </c>
    </row>
    <row r="60" customFormat="false" ht="46.25" hidden="false" customHeight="false" outlineLevel="0" collapsed="false">
      <c r="A60" s="51" t="s">
        <v>610</v>
      </c>
      <c r="B60" s="51" t="n">
        <v>56</v>
      </c>
      <c r="C60" s="52" t="s">
        <v>611</v>
      </c>
      <c r="D60" s="53" t="s">
        <v>612</v>
      </c>
      <c r="E60" s="54" t="s">
        <v>613</v>
      </c>
      <c r="F60" s="54" t="s">
        <v>614</v>
      </c>
      <c r="G60" s="54" t="s">
        <v>615</v>
      </c>
      <c r="H60" s="54" t="s">
        <v>616</v>
      </c>
      <c r="I60" s="53" t="s">
        <v>617</v>
      </c>
      <c r="J60" s="54" t="s">
        <v>618</v>
      </c>
      <c r="K60" s="53" t="s">
        <v>619</v>
      </c>
      <c r="L60" s="55" t="s">
        <v>8</v>
      </c>
      <c r="M60" s="56" t="n">
        <v>1</v>
      </c>
      <c r="N60" s="57" t="s">
        <v>94</v>
      </c>
      <c r="O60" s="59" t="s">
        <v>161</v>
      </c>
      <c r="P60" s="54" t="s">
        <v>620</v>
      </c>
      <c r="Q60" s="54" t="s">
        <v>621</v>
      </c>
      <c r="R60" s="58" t="s">
        <v>622</v>
      </c>
      <c r="S60" s="54" t="s">
        <v>98</v>
      </c>
    </row>
    <row r="61" customFormat="false" ht="35.05" hidden="false" customHeight="false" outlineLevel="0" collapsed="false">
      <c r="A61" s="51" t="s">
        <v>623</v>
      </c>
      <c r="B61" s="51" t="n">
        <v>57</v>
      </c>
      <c r="C61" s="52" t="s">
        <v>624</v>
      </c>
      <c r="D61" s="53" t="s">
        <v>625</v>
      </c>
      <c r="E61" s="54" t="s">
        <v>626</v>
      </c>
      <c r="F61" s="54" t="s">
        <v>125</v>
      </c>
      <c r="G61" s="54" t="s">
        <v>627</v>
      </c>
      <c r="H61" s="54" t="s">
        <v>628</v>
      </c>
      <c r="I61" s="53" t="s">
        <v>629</v>
      </c>
      <c r="J61" s="54" t="s">
        <v>525</v>
      </c>
      <c r="K61" s="53" t="s">
        <v>526</v>
      </c>
      <c r="L61" s="55" t="s">
        <v>8</v>
      </c>
      <c r="M61" s="56" t="n">
        <v>1</v>
      </c>
      <c r="N61" s="57" t="s">
        <v>94</v>
      </c>
      <c r="O61" s="51" t="s">
        <v>95</v>
      </c>
      <c r="P61" s="54"/>
      <c r="Q61" s="54" t="s">
        <v>131</v>
      </c>
      <c r="R61" s="58" t="s">
        <v>132</v>
      </c>
      <c r="S61" s="54" t="s">
        <v>98</v>
      </c>
    </row>
    <row r="62" customFormat="false" ht="35.05" hidden="false" customHeight="false" outlineLevel="0" collapsed="false">
      <c r="A62" s="51" t="s">
        <v>630</v>
      </c>
      <c r="B62" s="51" t="n">
        <v>58</v>
      </c>
      <c r="C62" s="52" t="s">
        <v>631</v>
      </c>
      <c r="D62" s="53" t="s">
        <v>632</v>
      </c>
      <c r="E62" s="54" t="s">
        <v>633</v>
      </c>
      <c r="F62" s="54" t="s">
        <v>88</v>
      </c>
      <c r="G62" s="54" t="s">
        <v>634</v>
      </c>
      <c r="H62" s="54" t="s">
        <v>635</v>
      </c>
      <c r="I62" s="53" t="s">
        <v>636</v>
      </c>
      <c r="J62" s="54" t="s">
        <v>637</v>
      </c>
      <c r="K62" s="53" t="s">
        <v>638</v>
      </c>
      <c r="L62" s="55" t="s">
        <v>8</v>
      </c>
      <c r="M62" s="56" t="n">
        <v>1</v>
      </c>
      <c r="N62" s="57" t="s">
        <v>94</v>
      </c>
      <c r="O62" s="51" t="s">
        <v>95</v>
      </c>
      <c r="P62" s="54"/>
      <c r="Q62" s="54" t="s">
        <v>131</v>
      </c>
      <c r="R62" s="58" t="s">
        <v>132</v>
      </c>
      <c r="S62" s="54" t="s">
        <v>98</v>
      </c>
    </row>
    <row r="63" customFormat="false" ht="35.05" hidden="false" customHeight="false" outlineLevel="0" collapsed="false">
      <c r="A63" s="51" t="s">
        <v>639</v>
      </c>
      <c r="B63" s="51" t="n">
        <v>59</v>
      </c>
      <c r="C63" s="52" t="s">
        <v>640</v>
      </c>
      <c r="D63" s="53" t="s">
        <v>641</v>
      </c>
      <c r="E63" s="54" t="s">
        <v>642</v>
      </c>
      <c r="F63" s="54" t="s">
        <v>115</v>
      </c>
      <c r="G63" s="54" t="s">
        <v>643</v>
      </c>
      <c r="H63" s="54" t="s">
        <v>644</v>
      </c>
      <c r="I63" s="53" t="s">
        <v>645</v>
      </c>
      <c r="J63" s="54" t="s">
        <v>646</v>
      </c>
      <c r="K63" s="53" t="s">
        <v>647</v>
      </c>
      <c r="L63" s="60" t="s">
        <v>9</v>
      </c>
      <c r="M63" s="56" t="n">
        <v>1</v>
      </c>
      <c r="N63" s="57" t="s">
        <v>94</v>
      </c>
      <c r="O63" s="51" t="s">
        <v>95</v>
      </c>
      <c r="P63" s="54"/>
      <c r="Q63" s="54" t="s">
        <v>131</v>
      </c>
      <c r="R63" s="58" t="s">
        <v>132</v>
      </c>
      <c r="S63" s="54" t="s">
        <v>98</v>
      </c>
    </row>
    <row r="64" customFormat="false" ht="35.05" hidden="false" customHeight="false" outlineLevel="0" collapsed="false">
      <c r="A64" s="51" t="s">
        <v>648</v>
      </c>
      <c r="B64" s="51" t="n">
        <v>60</v>
      </c>
      <c r="C64" s="52" t="s">
        <v>649</v>
      </c>
      <c r="D64" s="53" t="s">
        <v>650</v>
      </c>
      <c r="E64" s="54" t="s">
        <v>651</v>
      </c>
      <c r="F64" s="54" t="s">
        <v>125</v>
      </c>
      <c r="G64" s="54" t="s">
        <v>652</v>
      </c>
      <c r="H64" s="54" t="s">
        <v>653</v>
      </c>
      <c r="I64" s="53" t="s">
        <v>654</v>
      </c>
      <c r="J64" s="54" t="s">
        <v>655</v>
      </c>
      <c r="K64" s="53" t="s">
        <v>656</v>
      </c>
      <c r="L64" s="60" t="s">
        <v>9</v>
      </c>
      <c r="M64" s="56" t="n">
        <v>1</v>
      </c>
      <c r="N64" s="57" t="s">
        <v>94</v>
      </c>
      <c r="O64" s="51" t="s">
        <v>95</v>
      </c>
      <c r="P64" s="54"/>
      <c r="Q64" s="54" t="s">
        <v>131</v>
      </c>
      <c r="R64" s="58" t="s">
        <v>132</v>
      </c>
      <c r="S64" s="54" t="s">
        <v>98</v>
      </c>
    </row>
    <row r="65" customFormat="false" ht="35.05" hidden="false" customHeight="false" outlineLevel="0" collapsed="false">
      <c r="A65" s="51" t="s">
        <v>657</v>
      </c>
      <c r="B65" s="51" t="n">
        <v>61</v>
      </c>
      <c r="C65" s="52" t="s">
        <v>658</v>
      </c>
      <c r="D65" s="53" t="s">
        <v>659</v>
      </c>
      <c r="E65" s="54" t="s">
        <v>660</v>
      </c>
      <c r="F65" s="54" t="s">
        <v>115</v>
      </c>
      <c r="G65" s="54" t="s">
        <v>661</v>
      </c>
      <c r="H65" s="54" t="s">
        <v>662</v>
      </c>
      <c r="I65" s="53" t="s">
        <v>663</v>
      </c>
      <c r="J65" s="54" t="s">
        <v>664</v>
      </c>
      <c r="K65" s="53" t="s">
        <v>665</v>
      </c>
      <c r="L65" s="60" t="s">
        <v>9</v>
      </c>
      <c r="M65" s="56" t="n">
        <v>1</v>
      </c>
      <c r="N65" s="57" t="s">
        <v>94</v>
      </c>
      <c r="O65" s="51" t="s">
        <v>95</v>
      </c>
      <c r="P65" s="54"/>
      <c r="Q65" s="54" t="s">
        <v>96</v>
      </c>
      <c r="R65" s="58" t="s">
        <v>97</v>
      </c>
      <c r="S65" s="54" t="s">
        <v>98</v>
      </c>
    </row>
    <row r="66" customFormat="false" ht="35.05" hidden="false" customHeight="false" outlineLevel="0" collapsed="false">
      <c r="A66" s="51" t="s">
        <v>666</v>
      </c>
      <c r="B66" s="51" t="n">
        <v>62</v>
      </c>
      <c r="C66" s="52" t="s">
        <v>667</v>
      </c>
      <c r="D66" s="53" t="s">
        <v>668</v>
      </c>
      <c r="E66" s="54" t="s">
        <v>669</v>
      </c>
      <c r="F66" s="54" t="s">
        <v>115</v>
      </c>
      <c r="G66" s="54" t="s">
        <v>670</v>
      </c>
      <c r="H66" s="54" t="s">
        <v>671</v>
      </c>
      <c r="I66" s="53" t="s">
        <v>672</v>
      </c>
      <c r="J66" s="54" t="s">
        <v>673</v>
      </c>
      <c r="K66" s="53" t="s">
        <v>674</v>
      </c>
      <c r="L66" s="60" t="s">
        <v>9</v>
      </c>
      <c r="M66" s="56" t="n">
        <v>1</v>
      </c>
      <c r="N66" s="57" t="s">
        <v>94</v>
      </c>
      <c r="O66" s="51" t="s">
        <v>95</v>
      </c>
      <c r="P66" s="54"/>
      <c r="Q66" s="54" t="s">
        <v>131</v>
      </c>
      <c r="R66" s="58" t="s">
        <v>132</v>
      </c>
      <c r="S66" s="54" t="s">
        <v>98</v>
      </c>
    </row>
    <row r="67" customFormat="false" ht="35.05" hidden="false" customHeight="false" outlineLevel="0" collapsed="false">
      <c r="A67" s="51" t="s">
        <v>675</v>
      </c>
      <c r="B67" s="51" t="n">
        <v>63</v>
      </c>
      <c r="C67" s="52" t="s">
        <v>676</v>
      </c>
      <c r="D67" s="53" t="s">
        <v>677</v>
      </c>
      <c r="E67" s="54" t="s">
        <v>678</v>
      </c>
      <c r="F67" s="54" t="s">
        <v>115</v>
      </c>
      <c r="G67" s="54" t="s">
        <v>679</v>
      </c>
      <c r="H67" s="54" t="s">
        <v>680</v>
      </c>
      <c r="I67" s="53" t="s">
        <v>681</v>
      </c>
      <c r="J67" s="54" t="s">
        <v>682</v>
      </c>
      <c r="K67" s="53" t="s">
        <v>683</v>
      </c>
      <c r="L67" s="60" t="s">
        <v>9</v>
      </c>
      <c r="M67" s="56" t="n">
        <v>1</v>
      </c>
      <c r="N67" s="57" t="s">
        <v>94</v>
      </c>
      <c r="O67" s="51" t="s">
        <v>95</v>
      </c>
      <c r="P67" s="54"/>
      <c r="Q67" s="54" t="s">
        <v>131</v>
      </c>
      <c r="R67" s="58" t="s">
        <v>132</v>
      </c>
      <c r="S67" s="54" t="s">
        <v>98</v>
      </c>
    </row>
    <row r="68" customFormat="false" ht="35.05" hidden="false" customHeight="false" outlineLevel="0" collapsed="false">
      <c r="A68" s="51" t="s">
        <v>684</v>
      </c>
      <c r="B68" s="51" t="n">
        <v>64</v>
      </c>
      <c r="C68" s="52" t="s">
        <v>685</v>
      </c>
      <c r="D68" s="53" t="s">
        <v>686</v>
      </c>
      <c r="E68" s="54" t="s">
        <v>687</v>
      </c>
      <c r="F68" s="54" t="s">
        <v>115</v>
      </c>
      <c r="G68" s="54" t="s">
        <v>688</v>
      </c>
      <c r="H68" s="54" t="s">
        <v>689</v>
      </c>
      <c r="I68" s="53" t="s">
        <v>690</v>
      </c>
      <c r="J68" s="54" t="s">
        <v>691</v>
      </c>
      <c r="K68" s="53" t="s">
        <v>692</v>
      </c>
      <c r="L68" s="60" t="s">
        <v>9</v>
      </c>
      <c r="M68" s="56" t="n">
        <v>1</v>
      </c>
      <c r="N68" s="57" t="s">
        <v>94</v>
      </c>
      <c r="O68" s="51" t="s">
        <v>95</v>
      </c>
      <c r="P68" s="54"/>
      <c r="Q68" s="54" t="s">
        <v>131</v>
      </c>
      <c r="R68" s="58" t="s">
        <v>132</v>
      </c>
      <c r="S68" s="54" t="s">
        <v>98</v>
      </c>
    </row>
    <row r="69" customFormat="false" ht="46.25" hidden="false" customHeight="false" outlineLevel="0" collapsed="false">
      <c r="A69" s="51" t="s">
        <v>693</v>
      </c>
      <c r="B69" s="51" t="n">
        <v>65</v>
      </c>
      <c r="C69" s="52" t="s">
        <v>694</v>
      </c>
      <c r="D69" s="53" t="s">
        <v>695</v>
      </c>
      <c r="E69" s="54" t="s">
        <v>696</v>
      </c>
      <c r="F69" s="54" t="s">
        <v>137</v>
      </c>
      <c r="G69" s="54" t="s">
        <v>697</v>
      </c>
      <c r="H69" s="54" t="s">
        <v>698</v>
      </c>
      <c r="I69" s="53" t="s">
        <v>699</v>
      </c>
      <c r="J69" s="54" t="s">
        <v>700</v>
      </c>
      <c r="K69" s="53" t="s">
        <v>701</v>
      </c>
      <c r="L69" s="60" t="s">
        <v>9</v>
      </c>
      <c r="M69" s="56" t="n">
        <v>1</v>
      </c>
      <c r="N69" s="57" t="s">
        <v>94</v>
      </c>
      <c r="O69" s="51" t="s">
        <v>95</v>
      </c>
      <c r="P69" s="54"/>
      <c r="Q69" s="54" t="s">
        <v>109</v>
      </c>
      <c r="R69" s="58" t="s">
        <v>110</v>
      </c>
      <c r="S69" s="54" t="s">
        <v>98</v>
      </c>
    </row>
    <row r="70" customFormat="false" ht="35.05" hidden="false" customHeight="false" outlineLevel="0" collapsed="false">
      <c r="A70" s="51" t="s">
        <v>702</v>
      </c>
      <c r="B70" s="51" t="n">
        <v>66</v>
      </c>
      <c r="C70" s="52" t="s">
        <v>703</v>
      </c>
      <c r="D70" s="53" t="s">
        <v>704</v>
      </c>
      <c r="E70" s="54" t="s">
        <v>705</v>
      </c>
      <c r="F70" s="54" t="s">
        <v>222</v>
      </c>
      <c r="G70" s="54" t="s">
        <v>706</v>
      </c>
      <c r="H70" s="54" t="s">
        <v>707</v>
      </c>
      <c r="I70" s="53" t="s">
        <v>708</v>
      </c>
      <c r="J70" s="54" t="s">
        <v>709</v>
      </c>
      <c r="K70" s="53" t="s">
        <v>710</v>
      </c>
      <c r="L70" s="60" t="s">
        <v>9</v>
      </c>
      <c r="M70" s="56" t="n">
        <v>1</v>
      </c>
      <c r="N70" s="57" t="s">
        <v>94</v>
      </c>
      <c r="O70" s="51" t="s">
        <v>95</v>
      </c>
      <c r="P70" s="54"/>
      <c r="Q70" s="54" t="s">
        <v>131</v>
      </c>
      <c r="R70" s="58" t="s">
        <v>132</v>
      </c>
      <c r="S70" s="54" t="s">
        <v>98</v>
      </c>
    </row>
    <row r="71" customFormat="false" ht="35.05" hidden="false" customHeight="false" outlineLevel="0" collapsed="false">
      <c r="A71" s="51" t="s">
        <v>711</v>
      </c>
      <c r="B71" s="51" t="n">
        <v>67</v>
      </c>
      <c r="C71" s="52" t="s">
        <v>712</v>
      </c>
      <c r="D71" s="53" t="s">
        <v>713</v>
      </c>
      <c r="E71" s="54" t="s">
        <v>714</v>
      </c>
      <c r="F71" s="54" t="s">
        <v>115</v>
      </c>
      <c r="G71" s="54" t="s">
        <v>715</v>
      </c>
      <c r="H71" s="54" t="s">
        <v>716</v>
      </c>
      <c r="I71" s="53" t="s">
        <v>717</v>
      </c>
      <c r="J71" s="54" t="s">
        <v>718</v>
      </c>
      <c r="K71" s="53" t="s">
        <v>719</v>
      </c>
      <c r="L71" s="60" t="s">
        <v>9</v>
      </c>
      <c r="M71" s="56" t="n">
        <v>1</v>
      </c>
      <c r="N71" s="57" t="s">
        <v>94</v>
      </c>
      <c r="O71" s="51" t="s">
        <v>95</v>
      </c>
      <c r="P71" s="54"/>
      <c r="Q71" s="54" t="s">
        <v>131</v>
      </c>
      <c r="R71" s="58" t="s">
        <v>132</v>
      </c>
      <c r="S71" s="54" t="s">
        <v>98</v>
      </c>
    </row>
    <row r="72" customFormat="false" ht="35.05" hidden="false" customHeight="false" outlineLevel="0" collapsed="false">
      <c r="A72" s="51" t="s">
        <v>720</v>
      </c>
      <c r="B72" s="51" t="n">
        <v>68</v>
      </c>
      <c r="C72" s="52" t="s">
        <v>721</v>
      </c>
      <c r="D72" s="53" t="s">
        <v>722</v>
      </c>
      <c r="E72" s="54" t="s">
        <v>723</v>
      </c>
      <c r="F72" s="54" t="s">
        <v>125</v>
      </c>
      <c r="G72" s="54" t="s">
        <v>724</v>
      </c>
      <c r="H72" s="54" t="s">
        <v>725</v>
      </c>
      <c r="I72" s="53" t="s">
        <v>726</v>
      </c>
      <c r="J72" s="54" t="s">
        <v>727</v>
      </c>
      <c r="K72" s="53" t="s">
        <v>728</v>
      </c>
      <c r="L72" s="60" t="s">
        <v>9</v>
      </c>
      <c r="M72" s="56" t="n">
        <v>1</v>
      </c>
      <c r="N72" s="57" t="s">
        <v>94</v>
      </c>
      <c r="O72" s="51" t="s">
        <v>95</v>
      </c>
      <c r="P72" s="54"/>
      <c r="Q72" s="54" t="s">
        <v>131</v>
      </c>
      <c r="R72" s="58" t="s">
        <v>132</v>
      </c>
      <c r="S72" s="54" t="s">
        <v>98</v>
      </c>
    </row>
    <row r="73" customFormat="false" ht="35.05" hidden="false" customHeight="false" outlineLevel="0" collapsed="false">
      <c r="A73" s="51" t="s">
        <v>729</v>
      </c>
      <c r="B73" s="51" t="n">
        <v>69</v>
      </c>
      <c r="C73" s="52" t="s">
        <v>730</v>
      </c>
      <c r="D73" s="53" t="s">
        <v>731</v>
      </c>
      <c r="E73" s="54" t="s">
        <v>732</v>
      </c>
      <c r="F73" s="54" t="s">
        <v>115</v>
      </c>
      <c r="G73" s="54" t="s">
        <v>733</v>
      </c>
      <c r="H73" s="54" t="s">
        <v>734</v>
      </c>
      <c r="I73" s="53" t="s">
        <v>735</v>
      </c>
      <c r="J73" s="54" t="s">
        <v>736</v>
      </c>
      <c r="K73" s="53" t="s">
        <v>737</v>
      </c>
      <c r="L73" s="60" t="s">
        <v>9</v>
      </c>
      <c r="M73" s="56" t="n">
        <v>1</v>
      </c>
      <c r="N73" s="57" t="s">
        <v>94</v>
      </c>
      <c r="O73" s="51" t="s">
        <v>95</v>
      </c>
      <c r="P73" s="54"/>
      <c r="Q73" s="54" t="s">
        <v>131</v>
      </c>
      <c r="R73" s="58" t="s">
        <v>132</v>
      </c>
      <c r="S73" s="54" t="s">
        <v>98</v>
      </c>
    </row>
    <row r="74" customFormat="false" ht="35.05" hidden="false" customHeight="false" outlineLevel="0" collapsed="false">
      <c r="A74" s="51" t="s">
        <v>738</v>
      </c>
      <c r="B74" s="51" t="n">
        <v>70</v>
      </c>
      <c r="C74" s="52" t="s">
        <v>739</v>
      </c>
      <c r="D74" s="53" t="s">
        <v>740</v>
      </c>
      <c r="E74" s="54" t="s">
        <v>741</v>
      </c>
      <c r="F74" s="54" t="s">
        <v>115</v>
      </c>
      <c r="G74" s="54" t="s">
        <v>742</v>
      </c>
      <c r="H74" s="54" t="s">
        <v>743</v>
      </c>
      <c r="I74" s="53" t="s">
        <v>744</v>
      </c>
      <c r="J74" s="54" t="s">
        <v>745</v>
      </c>
      <c r="K74" s="53" t="s">
        <v>746</v>
      </c>
      <c r="L74" s="60" t="s">
        <v>9</v>
      </c>
      <c r="M74" s="56" t="n">
        <v>1</v>
      </c>
      <c r="N74" s="57" t="s">
        <v>94</v>
      </c>
      <c r="O74" s="51" t="s">
        <v>95</v>
      </c>
      <c r="P74" s="54"/>
      <c r="Q74" s="54" t="s">
        <v>131</v>
      </c>
      <c r="R74" s="58" t="s">
        <v>132</v>
      </c>
      <c r="S74" s="54" t="s">
        <v>98</v>
      </c>
    </row>
    <row r="75" customFormat="false" ht="35.05" hidden="false" customHeight="false" outlineLevel="0" collapsed="false">
      <c r="A75" s="51" t="s">
        <v>747</v>
      </c>
      <c r="B75" s="51" t="n">
        <v>71</v>
      </c>
      <c r="C75" s="52" t="s">
        <v>748</v>
      </c>
      <c r="D75" s="53" t="s">
        <v>749</v>
      </c>
      <c r="E75" s="54" t="s">
        <v>750</v>
      </c>
      <c r="F75" s="54" t="s">
        <v>391</v>
      </c>
      <c r="G75" s="54" t="s">
        <v>751</v>
      </c>
      <c r="H75" s="54" t="s">
        <v>752</v>
      </c>
      <c r="I75" s="53" t="s">
        <v>753</v>
      </c>
      <c r="J75" s="54" t="s">
        <v>754</v>
      </c>
      <c r="K75" s="53" t="s">
        <v>755</v>
      </c>
      <c r="L75" s="61" t="s">
        <v>10</v>
      </c>
      <c r="M75" s="56" t="n">
        <v>1</v>
      </c>
      <c r="N75" s="57" t="s">
        <v>94</v>
      </c>
      <c r="O75" s="51" t="s">
        <v>95</v>
      </c>
      <c r="P75" s="54"/>
      <c r="Q75" s="54" t="s">
        <v>96</v>
      </c>
      <c r="R75" s="58" t="s">
        <v>97</v>
      </c>
      <c r="S75" s="54" t="s">
        <v>98</v>
      </c>
    </row>
    <row r="76" customFormat="false" ht="35.05" hidden="false" customHeight="false" outlineLevel="0" collapsed="false">
      <c r="A76" s="51" t="s">
        <v>756</v>
      </c>
      <c r="B76" s="51" t="n">
        <v>72</v>
      </c>
      <c r="C76" s="52" t="s">
        <v>757</v>
      </c>
      <c r="D76" s="53" t="s">
        <v>758</v>
      </c>
      <c r="E76" s="54" t="s">
        <v>759</v>
      </c>
      <c r="F76" s="54" t="s">
        <v>391</v>
      </c>
      <c r="G76" s="54" t="s">
        <v>760</v>
      </c>
      <c r="H76" s="54" t="s">
        <v>761</v>
      </c>
      <c r="I76" s="53" t="s">
        <v>762</v>
      </c>
      <c r="J76" s="54" t="s">
        <v>763</v>
      </c>
      <c r="K76" s="53" t="s">
        <v>764</v>
      </c>
      <c r="L76" s="61" t="s">
        <v>10</v>
      </c>
      <c r="M76" s="56" t="n">
        <v>1</v>
      </c>
      <c r="N76" s="57" t="s">
        <v>94</v>
      </c>
      <c r="O76" s="51" t="s">
        <v>95</v>
      </c>
      <c r="P76" s="54"/>
      <c r="Q76" s="54" t="s">
        <v>96</v>
      </c>
      <c r="R76" s="58" t="s">
        <v>97</v>
      </c>
      <c r="S76" s="54" t="s">
        <v>98</v>
      </c>
    </row>
    <row r="77" customFormat="false" ht="35.05" hidden="false" customHeight="false" outlineLevel="0" collapsed="false">
      <c r="A77" s="51" t="s">
        <v>765</v>
      </c>
      <c r="B77" s="51" t="n">
        <v>73</v>
      </c>
      <c r="C77" s="52" t="s">
        <v>766</v>
      </c>
      <c r="D77" s="53" t="s">
        <v>767</v>
      </c>
      <c r="E77" s="54" t="s">
        <v>768</v>
      </c>
      <c r="F77" s="54" t="s">
        <v>391</v>
      </c>
      <c r="G77" s="54" t="s">
        <v>769</v>
      </c>
      <c r="H77" s="54" t="s">
        <v>770</v>
      </c>
      <c r="I77" s="53" t="s">
        <v>771</v>
      </c>
      <c r="J77" s="54" t="s">
        <v>772</v>
      </c>
      <c r="K77" s="53" t="s">
        <v>773</v>
      </c>
      <c r="L77" s="61" t="s">
        <v>10</v>
      </c>
      <c r="M77" s="56" t="n">
        <v>1</v>
      </c>
      <c r="N77" s="57" t="s">
        <v>94</v>
      </c>
      <c r="O77" s="51" t="s">
        <v>95</v>
      </c>
      <c r="P77" s="54"/>
      <c r="Q77" s="54" t="s">
        <v>96</v>
      </c>
      <c r="R77" s="58" t="s">
        <v>97</v>
      </c>
      <c r="S77" s="54" t="s">
        <v>98</v>
      </c>
    </row>
    <row r="78" customFormat="false" ht="35.05" hidden="false" customHeight="false" outlineLevel="0" collapsed="false">
      <c r="A78" s="51" t="s">
        <v>774</v>
      </c>
      <c r="B78" s="51" t="n">
        <v>74</v>
      </c>
      <c r="C78" s="52" t="s">
        <v>775</v>
      </c>
      <c r="D78" s="53" t="s">
        <v>776</v>
      </c>
      <c r="E78" s="54" t="s">
        <v>777</v>
      </c>
      <c r="F78" s="54" t="s">
        <v>391</v>
      </c>
      <c r="G78" s="54" t="s">
        <v>778</v>
      </c>
      <c r="H78" s="54" t="s">
        <v>779</v>
      </c>
      <c r="I78" s="53" t="s">
        <v>780</v>
      </c>
      <c r="J78" s="54" t="s">
        <v>781</v>
      </c>
      <c r="K78" s="53" t="s">
        <v>782</v>
      </c>
      <c r="L78" s="61" t="s">
        <v>10</v>
      </c>
      <c r="M78" s="56" t="n">
        <v>1</v>
      </c>
      <c r="N78" s="57" t="s">
        <v>94</v>
      </c>
      <c r="O78" s="51" t="s">
        <v>95</v>
      </c>
      <c r="P78" s="54"/>
      <c r="Q78" s="54" t="s">
        <v>131</v>
      </c>
      <c r="R78" s="58" t="s">
        <v>132</v>
      </c>
      <c r="S78" s="54" t="s">
        <v>98</v>
      </c>
    </row>
    <row r="79" customFormat="false" ht="35.05" hidden="false" customHeight="false" outlineLevel="0" collapsed="false">
      <c r="A79" s="51" t="s">
        <v>783</v>
      </c>
      <c r="B79" s="51" t="n">
        <v>75</v>
      </c>
      <c r="C79" s="52" t="s">
        <v>784</v>
      </c>
      <c r="D79" s="53" t="s">
        <v>785</v>
      </c>
      <c r="E79" s="54" t="s">
        <v>786</v>
      </c>
      <c r="F79" s="54" t="s">
        <v>391</v>
      </c>
      <c r="G79" s="54" t="s">
        <v>787</v>
      </c>
      <c r="H79" s="54" t="s">
        <v>788</v>
      </c>
      <c r="I79" s="53" t="s">
        <v>789</v>
      </c>
      <c r="J79" s="54" t="s">
        <v>790</v>
      </c>
      <c r="K79" s="53" t="s">
        <v>791</v>
      </c>
      <c r="L79" s="61" t="s">
        <v>10</v>
      </c>
      <c r="M79" s="56" t="n">
        <v>1</v>
      </c>
      <c r="N79" s="57" t="s">
        <v>94</v>
      </c>
      <c r="O79" s="51" t="s">
        <v>95</v>
      </c>
      <c r="P79" s="54"/>
      <c r="Q79" s="54" t="s">
        <v>96</v>
      </c>
      <c r="R79" s="58" t="s">
        <v>97</v>
      </c>
      <c r="S79" s="54" t="s">
        <v>98</v>
      </c>
    </row>
    <row r="80" customFormat="false" ht="35.05" hidden="false" customHeight="false" outlineLevel="0" collapsed="false">
      <c r="A80" s="51" t="s">
        <v>792</v>
      </c>
      <c r="B80" s="51" t="n">
        <v>76</v>
      </c>
      <c r="C80" s="52" t="s">
        <v>793</v>
      </c>
      <c r="D80" s="53" t="s">
        <v>794</v>
      </c>
      <c r="E80" s="54" t="s">
        <v>795</v>
      </c>
      <c r="F80" s="54" t="s">
        <v>137</v>
      </c>
      <c r="G80" s="54" t="s">
        <v>796</v>
      </c>
      <c r="H80" s="54" t="s">
        <v>797</v>
      </c>
      <c r="I80" s="53" t="s">
        <v>798</v>
      </c>
      <c r="J80" s="54" t="s">
        <v>799</v>
      </c>
      <c r="K80" s="53" t="s">
        <v>800</v>
      </c>
      <c r="L80" s="61" t="s">
        <v>10</v>
      </c>
      <c r="M80" s="56" t="n">
        <v>1</v>
      </c>
      <c r="N80" s="57" t="s">
        <v>94</v>
      </c>
      <c r="O80" s="51" t="s">
        <v>95</v>
      </c>
      <c r="P80" s="54"/>
      <c r="Q80" s="54" t="s">
        <v>96</v>
      </c>
      <c r="R80" s="58" t="s">
        <v>97</v>
      </c>
      <c r="S80" s="54" t="s">
        <v>98</v>
      </c>
    </row>
    <row r="81" customFormat="false" ht="35.05" hidden="false" customHeight="false" outlineLevel="0" collapsed="false">
      <c r="A81" s="51" t="s">
        <v>801</v>
      </c>
      <c r="B81" s="51" t="n">
        <v>77</v>
      </c>
      <c r="C81" s="52" t="s">
        <v>802</v>
      </c>
      <c r="D81" s="53" t="s">
        <v>803</v>
      </c>
      <c r="E81" s="54" t="s">
        <v>804</v>
      </c>
      <c r="F81" s="54" t="s">
        <v>391</v>
      </c>
      <c r="G81" s="54" t="s">
        <v>805</v>
      </c>
      <c r="H81" s="54" t="s">
        <v>806</v>
      </c>
      <c r="I81" s="53" t="s">
        <v>807</v>
      </c>
      <c r="J81" s="54" t="s">
        <v>808</v>
      </c>
      <c r="K81" s="53" t="s">
        <v>809</v>
      </c>
      <c r="L81" s="61" t="s">
        <v>10</v>
      </c>
      <c r="M81" s="56" t="n">
        <v>1</v>
      </c>
      <c r="N81" s="57" t="s">
        <v>94</v>
      </c>
      <c r="O81" s="51" t="s">
        <v>95</v>
      </c>
      <c r="P81" s="54"/>
      <c r="Q81" s="54" t="s">
        <v>96</v>
      </c>
      <c r="R81" s="58" t="s">
        <v>97</v>
      </c>
      <c r="S81" s="54" t="s">
        <v>98</v>
      </c>
    </row>
    <row r="82" customFormat="false" ht="35.05" hidden="false" customHeight="false" outlineLevel="0" collapsed="false">
      <c r="A82" s="51" t="s">
        <v>810</v>
      </c>
      <c r="B82" s="51" t="n">
        <v>78</v>
      </c>
      <c r="C82" s="52" t="s">
        <v>811</v>
      </c>
      <c r="D82" s="53" t="s">
        <v>812</v>
      </c>
      <c r="E82" s="54" t="s">
        <v>813</v>
      </c>
      <c r="F82" s="54" t="s">
        <v>115</v>
      </c>
      <c r="G82" s="54" t="s">
        <v>814</v>
      </c>
      <c r="H82" s="54" t="s">
        <v>815</v>
      </c>
      <c r="I82" s="53" t="s">
        <v>816</v>
      </c>
      <c r="J82" s="54" t="s">
        <v>817</v>
      </c>
      <c r="K82" s="53" t="s">
        <v>818</v>
      </c>
      <c r="L82" s="61" t="s">
        <v>10</v>
      </c>
      <c r="M82" s="56" t="n">
        <v>1</v>
      </c>
      <c r="N82" s="57" t="s">
        <v>94</v>
      </c>
      <c r="O82" s="51" t="s">
        <v>95</v>
      </c>
      <c r="P82" s="54"/>
      <c r="Q82" s="54" t="s">
        <v>131</v>
      </c>
      <c r="R82" s="58" t="s">
        <v>132</v>
      </c>
      <c r="S82" s="54" t="s">
        <v>98</v>
      </c>
    </row>
    <row r="83" customFormat="false" ht="35.05" hidden="false" customHeight="false" outlineLevel="0" collapsed="false">
      <c r="A83" s="51" t="s">
        <v>819</v>
      </c>
      <c r="B83" s="51" t="n">
        <v>79</v>
      </c>
      <c r="C83" s="52" t="s">
        <v>820</v>
      </c>
      <c r="D83" s="53" t="s">
        <v>821</v>
      </c>
      <c r="E83" s="54" t="s">
        <v>822</v>
      </c>
      <c r="F83" s="54" t="s">
        <v>823</v>
      </c>
      <c r="G83" s="54" t="s">
        <v>824</v>
      </c>
      <c r="H83" s="54" t="s">
        <v>825</v>
      </c>
      <c r="I83" s="53" t="s">
        <v>826</v>
      </c>
      <c r="J83" s="54" t="s">
        <v>827</v>
      </c>
      <c r="K83" s="53" t="s">
        <v>828</v>
      </c>
      <c r="L83" s="61" t="s">
        <v>10</v>
      </c>
      <c r="M83" s="56" t="n">
        <v>1</v>
      </c>
      <c r="N83" s="57" t="s">
        <v>94</v>
      </c>
      <c r="O83" s="51" t="s">
        <v>95</v>
      </c>
      <c r="P83" s="54"/>
      <c r="Q83" s="54" t="s">
        <v>96</v>
      </c>
      <c r="R83" s="58" t="s">
        <v>97</v>
      </c>
      <c r="S83" s="54" t="s">
        <v>98</v>
      </c>
    </row>
    <row r="84" customFormat="false" ht="35.05" hidden="false" customHeight="false" outlineLevel="0" collapsed="false">
      <c r="A84" s="51" t="s">
        <v>829</v>
      </c>
      <c r="B84" s="51" t="n">
        <v>80</v>
      </c>
      <c r="C84" s="52" t="s">
        <v>830</v>
      </c>
      <c r="D84" s="53" t="s">
        <v>831</v>
      </c>
      <c r="E84" s="54" t="s">
        <v>832</v>
      </c>
      <c r="F84" s="54" t="s">
        <v>115</v>
      </c>
      <c r="G84" s="54" t="s">
        <v>833</v>
      </c>
      <c r="H84" s="54" t="s">
        <v>834</v>
      </c>
      <c r="I84" s="53" t="s">
        <v>835</v>
      </c>
      <c r="J84" s="54" t="s">
        <v>836</v>
      </c>
      <c r="K84" s="53" t="s">
        <v>837</v>
      </c>
      <c r="L84" s="61" t="s">
        <v>10</v>
      </c>
      <c r="M84" s="56" t="n">
        <v>1</v>
      </c>
      <c r="N84" s="57" t="s">
        <v>94</v>
      </c>
      <c r="O84" s="51" t="s">
        <v>95</v>
      </c>
      <c r="P84" s="54"/>
      <c r="Q84" s="54" t="s">
        <v>131</v>
      </c>
      <c r="R84" s="58" t="s">
        <v>132</v>
      </c>
      <c r="S84" s="54" t="s">
        <v>98</v>
      </c>
    </row>
    <row r="85" customFormat="false" ht="35.05" hidden="false" customHeight="false" outlineLevel="0" collapsed="false">
      <c r="A85" s="51" t="s">
        <v>838</v>
      </c>
      <c r="B85" s="51" t="n">
        <v>81</v>
      </c>
      <c r="C85" s="52" t="s">
        <v>839</v>
      </c>
      <c r="D85" s="53" t="s">
        <v>840</v>
      </c>
      <c r="E85" s="54" t="s">
        <v>841</v>
      </c>
      <c r="F85" s="54" t="s">
        <v>391</v>
      </c>
      <c r="G85" s="54" t="s">
        <v>842</v>
      </c>
      <c r="H85" s="54" t="s">
        <v>843</v>
      </c>
      <c r="I85" s="53" t="s">
        <v>844</v>
      </c>
      <c r="J85" s="54" t="s">
        <v>845</v>
      </c>
      <c r="K85" s="53" t="s">
        <v>846</v>
      </c>
      <c r="L85" s="61" t="s">
        <v>10</v>
      </c>
      <c r="M85" s="56" t="n">
        <v>1</v>
      </c>
      <c r="N85" s="57" t="s">
        <v>94</v>
      </c>
      <c r="O85" s="51" t="s">
        <v>95</v>
      </c>
      <c r="P85" s="54"/>
      <c r="Q85" s="54" t="s">
        <v>96</v>
      </c>
      <c r="R85" s="58" t="s">
        <v>97</v>
      </c>
      <c r="S85" s="54" t="s">
        <v>98</v>
      </c>
    </row>
    <row r="86" customFormat="false" ht="35.05" hidden="false" customHeight="false" outlineLevel="0" collapsed="false">
      <c r="A86" s="51" t="s">
        <v>847</v>
      </c>
      <c r="B86" s="51" t="n">
        <v>82</v>
      </c>
      <c r="C86" s="52" t="s">
        <v>848</v>
      </c>
      <c r="D86" s="53" t="s">
        <v>849</v>
      </c>
      <c r="E86" s="54" t="s">
        <v>850</v>
      </c>
      <c r="F86" s="54" t="s">
        <v>391</v>
      </c>
      <c r="G86" s="54" t="s">
        <v>851</v>
      </c>
      <c r="H86" s="54" t="s">
        <v>852</v>
      </c>
      <c r="I86" s="53" t="s">
        <v>853</v>
      </c>
      <c r="J86" s="54" t="s">
        <v>854</v>
      </c>
      <c r="K86" s="53" t="s">
        <v>855</v>
      </c>
      <c r="L86" s="61" t="s">
        <v>10</v>
      </c>
      <c r="M86" s="56" t="n">
        <v>1</v>
      </c>
      <c r="N86" s="57" t="s">
        <v>94</v>
      </c>
      <c r="O86" s="51" t="s">
        <v>95</v>
      </c>
      <c r="P86" s="54"/>
      <c r="Q86" s="54" t="s">
        <v>96</v>
      </c>
      <c r="R86" s="58" t="s">
        <v>97</v>
      </c>
      <c r="S86" s="54" t="s">
        <v>98</v>
      </c>
    </row>
    <row r="87" customFormat="false" ht="35.05" hidden="false" customHeight="false" outlineLevel="0" collapsed="false">
      <c r="A87" s="51" t="s">
        <v>856</v>
      </c>
      <c r="B87" s="51" t="n">
        <v>83</v>
      </c>
      <c r="C87" s="52" t="s">
        <v>857</v>
      </c>
      <c r="D87" s="53" t="s">
        <v>858</v>
      </c>
      <c r="E87" s="54" t="s">
        <v>859</v>
      </c>
      <c r="F87" s="54" t="s">
        <v>860</v>
      </c>
      <c r="G87" s="54" t="s">
        <v>861</v>
      </c>
      <c r="H87" s="54" t="s">
        <v>862</v>
      </c>
      <c r="I87" s="53" t="s">
        <v>863</v>
      </c>
      <c r="J87" s="54" t="s">
        <v>864</v>
      </c>
      <c r="K87" s="53" t="s">
        <v>865</v>
      </c>
      <c r="L87" s="61" t="s">
        <v>10</v>
      </c>
      <c r="M87" s="56" t="n">
        <v>1</v>
      </c>
      <c r="N87" s="57" t="s">
        <v>94</v>
      </c>
      <c r="O87" s="51" t="s">
        <v>95</v>
      </c>
      <c r="P87" s="54"/>
      <c r="Q87" s="54" t="s">
        <v>131</v>
      </c>
      <c r="R87" s="58" t="s">
        <v>132</v>
      </c>
      <c r="S87" s="54" t="s">
        <v>98</v>
      </c>
    </row>
    <row r="88" customFormat="false" ht="35.05" hidden="false" customHeight="false" outlineLevel="0" collapsed="false">
      <c r="A88" s="51" t="s">
        <v>866</v>
      </c>
      <c r="B88" s="51" t="n">
        <v>84</v>
      </c>
      <c r="C88" s="52" t="s">
        <v>867</v>
      </c>
      <c r="D88" s="53" t="s">
        <v>868</v>
      </c>
      <c r="E88" s="54" t="s">
        <v>869</v>
      </c>
      <c r="F88" s="54" t="s">
        <v>391</v>
      </c>
      <c r="G88" s="54" t="s">
        <v>870</v>
      </c>
      <c r="H88" s="54" t="s">
        <v>871</v>
      </c>
      <c r="I88" s="53" t="s">
        <v>872</v>
      </c>
      <c r="J88" s="54" t="s">
        <v>873</v>
      </c>
      <c r="K88" s="53" t="s">
        <v>874</v>
      </c>
      <c r="L88" s="61" t="s">
        <v>10</v>
      </c>
      <c r="M88" s="56" t="n">
        <v>1</v>
      </c>
      <c r="N88" s="57" t="s">
        <v>94</v>
      </c>
      <c r="O88" s="51" t="s">
        <v>95</v>
      </c>
      <c r="P88" s="54"/>
      <c r="Q88" s="54" t="s">
        <v>96</v>
      </c>
      <c r="R88" s="58" t="s">
        <v>97</v>
      </c>
      <c r="S88" s="54" t="s">
        <v>98</v>
      </c>
    </row>
    <row r="89" customFormat="false" ht="35.05" hidden="false" customHeight="false" outlineLevel="0" collapsed="false">
      <c r="A89" s="51" t="s">
        <v>875</v>
      </c>
      <c r="B89" s="51" t="n">
        <v>85</v>
      </c>
      <c r="C89" s="52" t="s">
        <v>876</v>
      </c>
      <c r="D89" s="53" t="s">
        <v>877</v>
      </c>
      <c r="E89" s="54" t="s">
        <v>878</v>
      </c>
      <c r="F89" s="54" t="s">
        <v>391</v>
      </c>
      <c r="G89" s="54" t="s">
        <v>879</v>
      </c>
      <c r="H89" s="54" t="s">
        <v>880</v>
      </c>
      <c r="I89" s="53" t="s">
        <v>881</v>
      </c>
      <c r="J89" s="54" t="s">
        <v>882</v>
      </c>
      <c r="K89" s="53" t="s">
        <v>883</v>
      </c>
      <c r="L89" s="61" t="s">
        <v>10</v>
      </c>
      <c r="M89" s="56" t="n">
        <v>1</v>
      </c>
      <c r="N89" s="57" t="s">
        <v>94</v>
      </c>
      <c r="O89" s="51" t="s">
        <v>95</v>
      </c>
      <c r="P89" s="54"/>
      <c r="Q89" s="54" t="s">
        <v>96</v>
      </c>
      <c r="R89" s="58" t="s">
        <v>97</v>
      </c>
      <c r="S89" s="54" t="s">
        <v>98</v>
      </c>
    </row>
    <row r="90" customFormat="false" ht="35.05" hidden="false" customHeight="false" outlineLevel="0" collapsed="false">
      <c r="A90" s="51" t="s">
        <v>884</v>
      </c>
      <c r="B90" s="51" t="n">
        <v>86</v>
      </c>
      <c r="C90" s="52" t="s">
        <v>885</v>
      </c>
      <c r="D90" s="53" t="s">
        <v>886</v>
      </c>
      <c r="E90" s="54" t="s">
        <v>887</v>
      </c>
      <c r="F90" s="54" t="s">
        <v>391</v>
      </c>
      <c r="G90" s="54" t="s">
        <v>888</v>
      </c>
      <c r="H90" s="54" t="s">
        <v>889</v>
      </c>
      <c r="I90" s="53" t="s">
        <v>890</v>
      </c>
      <c r="J90" s="54" t="s">
        <v>891</v>
      </c>
      <c r="K90" s="53" t="s">
        <v>892</v>
      </c>
      <c r="L90" s="61" t="s">
        <v>10</v>
      </c>
      <c r="M90" s="56" t="n">
        <v>1</v>
      </c>
      <c r="N90" s="57" t="s">
        <v>94</v>
      </c>
      <c r="O90" s="51" t="s">
        <v>95</v>
      </c>
      <c r="P90" s="54"/>
      <c r="Q90" s="54" t="s">
        <v>96</v>
      </c>
      <c r="R90" s="58" t="s">
        <v>97</v>
      </c>
      <c r="S90" s="54" t="s">
        <v>98</v>
      </c>
    </row>
    <row r="91" customFormat="false" ht="35.05" hidden="false" customHeight="false" outlineLevel="0" collapsed="false">
      <c r="A91" s="51" t="s">
        <v>893</v>
      </c>
      <c r="B91" s="51" t="n">
        <v>87</v>
      </c>
      <c r="C91" s="52" t="s">
        <v>894</v>
      </c>
      <c r="D91" s="53" t="s">
        <v>895</v>
      </c>
      <c r="E91" s="54" t="s">
        <v>896</v>
      </c>
      <c r="F91" s="54" t="s">
        <v>115</v>
      </c>
      <c r="G91" s="54" t="s">
        <v>897</v>
      </c>
      <c r="H91" s="54" t="s">
        <v>898</v>
      </c>
      <c r="I91" s="53" t="s">
        <v>899</v>
      </c>
      <c r="J91" s="54" t="s">
        <v>900</v>
      </c>
      <c r="K91" s="53" t="s">
        <v>901</v>
      </c>
      <c r="L91" s="61" t="s">
        <v>10</v>
      </c>
      <c r="M91" s="56" t="n">
        <v>1</v>
      </c>
      <c r="N91" s="57" t="s">
        <v>94</v>
      </c>
      <c r="O91" s="51" t="s">
        <v>95</v>
      </c>
      <c r="P91" s="54"/>
      <c r="Q91" s="54" t="s">
        <v>96</v>
      </c>
      <c r="R91" s="58" t="s">
        <v>97</v>
      </c>
      <c r="S91" s="54" t="s">
        <v>98</v>
      </c>
    </row>
    <row r="92" customFormat="false" ht="35.05" hidden="false" customHeight="false" outlineLevel="0" collapsed="false">
      <c r="A92" s="51" t="s">
        <v>902</v>
      </c>
      <c r="B92" s="51" t="n">
        <v>88</v>
      </c>
      <c r="C92" s="52" t="s">
        <v>903</v>
      </c>
      <c r="D92" s="53" t="s">
        <v>904</v>
      </c>
      <c r="E92" s="54" t="s">
        <v>905</v>
      </c>
      <c r="F92" s="54" t="s">
        <v>115</v>
      </c>
      <c r="G92" s="54" t="s">
        <v>906</v>
      </c>
      <c r="H92" s="54" t="s">
        <v>907</v>
      </c>
      <c r="I92" s="53" t="s">
        <v>908</v>
      </c>
      <c r="J92" s="54" t="s">
        <v>909</v>
      </c>
      <c r="K92" s="53" t="s">
        <v>910</v>
      </c>
      <c r="L92" s="61" t="s">
        <v>10</v>
      </c>
      <c r="M92" s="56" t="n">
        <v>1</v>
      </c>
      <c r="N92" s="57" t="s">
        <v>94</v>
      </c>
      <c r="O92" s="51" t="s">
        <v>95</v>
      </c>
      <c r="P92" s="54"/>
      <c r="Q92" s="54" t="s">
        <v>131</v>
      </c>
      <c r="R92" s="58" t="s">
        <v>132</v>
      </c>
      <c r="S92" s="54" t="s">
        <v>98</v>
      </c>
    </row>
    <row r="93" customFormat="false" ht="35.05" hidden="false" customHeight="false" outlineLevel="0" collapsed="false">
      <c r="A93" s="51" t="s">
        <v>911</v>
      </c>
      <c r="B93" s="51" t="n">
        <v>89</v>
      </c>
      <c r="C93" s="52" t="s">
        <v>912</v>
      </c>
      <c r="D93" s="53" t="s">
        <v>913</v>
      </c>
      <c r="E93" s="54" t="s">
        <v>914</v>
      </c>
      <c r="F93" s="54" t="s">
        <v>391</v>
      </c>
      <c r="G93" s="54" t="s">
        <v>915</v>
      </c>
      <c r="H93" s="54" t="s">
        <v>916</v>
      </c>
      <c r="I93" s="53" t="s">
        <v>917</v>
      </c>
      <c r="J93" s="54" t="s">
        <v>918</v>
      </c>
      <c r="K93" s="53" t="s">
        <v>919</v>
      </c>
      <c r="L93" s="61" t="s">
        <v>10</v>
      </c>
      <c r="M93" s="56" t="n">
        <v>1</v>
      </c>
      <c r="N93" s="57" t="s">
        <v>94</v>
      </c>
      <c r="O93" s="51" t="s">
        <v>95</v>
      </c>
      <c r="P93" s="54"/>
      <c r="Q93" s="54" t="s">
        <v>96</v>
      </c>
      <c r="R93" s="58" t="s">
        <v>97</v>
      </c>
      <c r="S93" s="54" t="s">
        <v>98</v>
      </c>
    </row>
    <row r="94" customFormat="false" ht="35.05" hidden="false" customHeight="false" outlineLevel="0" collapsed="false">
      <c r="A94" s="51" t="s">
        <v>920</v>
      </c>
      <c r="B94" s="51" t="n">
        <v>90</v>
      </c>
      <c r="C94" s="52" t="s">
        <v>921</v>
      </c>
      <c r="D94" s="53" t="s">
        <v>922</v>
      </c>
      <c r="E94" s="54" t="s">
        <v>923</v>
      </c>
      <c r="F94" s="54" t="s">
        <v>391</v>
      </c>
      <c r="G94" s="54" t="s">
        <v>924</v>
      </c>
      <c r="H94" s="54" t="s">
        <v>925</v>
      </c>
      <c r="I94" s="53" t="s">
        <v>926</v>
      </c>
      <c r="J94" s="54" t="s">
        <v>927</v>
      </c>
      <c r="K94" s="53" t="s">
        <v>928</v>
      </c>
      <c r="L94" s="61" t="s">
        <v>10</v>
      </c>
      <c r="M94" s="56" t="n">
        <v>1</v>
      </c>
      <c r="N94" s="57" t="s">
        <v>94</v>
      </c>
      <c r="O94" s="51" t="s">
        <v>95</v>
      </c>
      <c r="P94" s="54"/>
      <c r="Q94" s="54" t="s">
        <v>96</v>
      </c>
      <c r="R94" s="58" t="s">
        <v>97</v>
      </c>
      <c r="S94" s="54" t="s">
        <v>98</v>
      </c>
    </row>
    <row r="95" customFormat="false" ht="35.05" hidden="false" customHeight="false" outlineLevel="0" collapsed="false">
      <c r="A95" s="51" t="s">
        <v>929</v>
      </c>
      <c r="B95" s="51" t="n">
        <v>91</v>
      </c>
      <c r="C95" s="52" t="s">
        <v>930</v>
      </c>
      <c r="D95" s="53" t="s">
        <v>931</v>
      </c>
      <c r="E95" s="54" t="s">
        <v>932</v>
      </c>
      <c r="F95" s="54" t="s">
        <v>391</v>
      </c>
      <c r="G95" s="54" t="s">
        <v>933</v>
      </c>
      <c r="H95" s="54" t="s">
        <v>934</v>
      </c>
      <c r="I95" s="53" t="s">
        <v>935</v>
      </c>
      <c r="J95" s="54" t="s">
        <v>936</v>
      </c>
      <c r="K95" s="53" t="s">
        <v>937</v>
      </c>
      <c r="L95" s="61" t="s">
        <v>10</v>
      </c>
      <c r="M95" s="56" t="n">
        <v>1</v>
      </c>
      <c r="N95" s="57" t="s">
        <v>94</v>
      </c>
      <c r="O95" s="51" t="s">
        <v>95</v>
      </c>
      <c r="P95" s="54"/>
      <c r="Q95" s="54" t="s">
        <v>96</v>
      </c>
      <c r="R95" s="58" t="s">
        <v>97</v>
      </c>
      <c r="S95" s="54" t="s">
        <v>98</v>
      </c>
    </row>
    <row r="96" customFormat="false" ht="35.05" hidden="false" customHeight="false" outlineLevel="0" collapsed="false">
      <c r="A96" s="51" t="s">
        <v>938</v>
      </c>
      <c r="B96" s="51" t="n">
        <v>92</v>
      </c>
      <c r="C96" s="52" t="s">
        <v>860</v>
      </c>
      <c r="D96" s="53" t="s">
        <v>939</v>
      </c>
      <c r="E96" s="54" t="s">
        <v>940</v>
      </c>
      <c r="F96" s="54" t="s">
        <v>941</v>
      </c>
      <c r="G96" s="54" t="s">
        <v>942</v>
      </c>
      <c r="H96" s="54" t="s">
        <v>943</v>
      </c>
      <c r="I96" s="53" t="s">
        <v>944</v>
      </c>
      <c r="J96" s="54" t="s">
        <v>945</v>
      </c>
      <c r="K96" s="53" t="s">
        <v>946</v>
      </c>
      <c r="L96" s="61" t="s">
        <v>10</v>
      </c>
      <c r="M96" s="56" t="n">
        <v>1</v>
      </c>
      <c r="N96" s="57" t="s">
        <v>94</v>
      </c>
      <c r="O96" s="51" t="s">
        <v>95</v>
      </c>
      <c r="P96" s="54"/>
      <c r="Q96" s="54" t="s">
        <v>131</v>
      </c>
      <c r="R96" s="58" t="s">
        <v>132</v>
      </c>
      <c r="S96" s="54" t="s">
        <v>98</v>
      </c>
    </row>
    <row r="97" customFormat="false" ht="35.05" hidden="false" customHeight="false" outlineLevel="0" collapsed="false">
      <c r="A97" s="51" t="s">
        <v>947</v>
      </c>
      <c r="B97" s="51" t="n">
        <v>93</v>
      </c>
      <c r="C97" s="52" t="s">
        <v>948</v>
      </c>
      <c r="D97" s="53" t="s">
        <v>949</v>
      </c>
      <c r="E97" s="54" t="s">
        <v>950</v>
      </c>
      <c r="F97" s="54" t="s">
        <v>115</v>
      </c>
      <c r="G97" s="54" t="s">
        <v>951</v>
      </c>
      <c r="H97" s="54" t="s">
        <v>952</v>
      </c>
      <c r="I97" s="53" t="s">
        <v>953</v>
      </c>
      <c r="J97" s="54" t="s">
        <v>954</v>
      </c>
      <c r="K97" s="53" t="s">
        <v>955</v>
      </c>
      <c r="L97" s="61" t="s">
        <v>10</v>
      </c>
      <c r="M97" s="56" t="n">
        <v>1</v>
      </c>
      <c r="N97" s="57" t="s">
        <v>94</v>
      </c>
      <c r="O97" s="51" t="s">
        <v>95</v>
      </c>
      <c r="P97" s="54"/>
      <c r="Q97" s="54" t="s">
        <v>131</v>
      </c>
      <c r="R97" s="58" t="s">
        <v>132</v>
      </c>
      <c r="S97" s="54" t="s">
        <v>98</v>
      </c>
    </row>
    <row r="98" customFormat="false" ht="35.05" hidden="false" customHeight="false" outlineLevel="0" collapsed="false">
      <c r="A98" s="51" t="s">
        <v>956</v>
      </c>
      <c r="B98" s="51" t="n">
        <v>94</v>
      </c>
      <c r="C98" s="52" t="s">
        <v>957</v>
      </c>
      <c r="D98" s="53" t="s">
        <v>958</v>
      </c>
      <c r="E98" s="54" t="s">
        <v>959</v>
      </c>
      <c r="F98" s="54" t="s">
        <v>391</v>
      </c>
      <c r="G98" s="54" t="s">
        <v>960</v>
      </c>
      <c r="H98" s="54" t="s">
        <v>961</v>
      </c>
      <c r="I98" s="53" t="s">
        <v>962</v>
      </c>
      <c r="J98" s="54" t="s">
        <v>963</v>
      </c>
      <c r="K98" s="53" t="s">
        <v>964</v>
      </c>
      <c r="L98" s="61" t="s">
        <v>10</v>
      </c>
      <c r="M98" s="56" t="n">
        <v>1</v>
      </c>
      <c r="N98" s="57" t="s">
        <v>94</v>
      </c>
      <c r="O98" s="51" t="s">
        <v>95</v>
      </c>
      <c r="P98" s="54"/>
      <c r="Q98" s="54" t="s">
        <v>96</v>
      </c>
      <c r="R98" s="58" t="s">
        <v>97</v>
      </c>
      <c r="S98" s="54" t="s">
        <v>98</v>
      </c>
    </row>
    <row r="99" customFormat="false" ht="35.05" hidden="false" customHeight="false" outlineLevel="0" collapsed="false">
      <c r="A99" s="51" t="s">
        <v>965</v>
      </c>
      <c r="B99" s="51" t="n">
        <v>95</v>
      </c>
      <c r="C99" s="52" t="s">
        <v>966</v>
      </c>
      <c r="D99" s="53" t="s">
        <v>967</v>
      </c>
      <c r="E99" s="54" t="s">
        <v>968</v>
      </c>
      <c r="F99" s="54" t="s">
        <v>860</v>
      </c>
      <c r="G99" s="54" t="s">
        <v>969</v>
      </c>
      <c r="H99" s="54" t="s">
        <v>970</v>
      </c>
      <c r="I99" s="53" t="s">
        <v>971</v>
      </c>
      <c r="J99" s="54" t="s">
        <v>972</v>
      </c>
      <c r="K99" s="53" t="s">
        <v>973</v>
      </c>
      <c r="L99" s="61" t="s">
        <v>10</v>
      </c>
      <c r="M99" s="56" t="n">
        <v>1</v>
      </c>
      <c r="N99" s="57" t="s">
        <v>94</v>
      </c>
      <c r="O99" s="51" t="s">
        <v>95</v>
      </c>
      <c r="P99" s="54"/>
      <c r="Q99" s="54" t="s">
        <v>131</v>
      </c>
      <c r="R99" s="58" t="s">
        <v>132</v>
      </c>
      <c r="S99" s="54" t="s">
        <v>98</v>
      </c>
    </row>
    <row r="100" customFormat="false" ht="35.05" hidden="false" customHeight="false" outlineLevel="0" collapsed="false">
      <c r="A100" s="51" t="s">
        <v>974</v>
      </c>
      <c r="B100" s="51" t="n">
        <v>96</v>
      </c>
      <c r="C100" s="52" t="s">
        <v>975</v>
      </c>
      <c r="D100" s="53" t="s">
        <v>976</v>
      </c>
      <c r="E100" s="54" t="s">
        <v>977</v>
      </c>
      <c r="F100" s="54" t="s">
        <v>860</v>
      </c>
      <c r="G100" s="54" t="s">
        <v>978</v>
      </c>
      <c r="H100" s="54" t="s">
        <v>979</v>
      </c>
      <c r="I100" s="53" t="s">
        <v>980</v>
      </c>
      <c r="J100" s="54" t="s">
        <v>981</v>
      </c>
      <c r="K100" s="53" t="s">
        <v>982</v>
      </c>
      <c r="L100" s="61" t="s">
        <v>10</v>
      </c>
      <c r="M100" s="56" t="n">
        <v>1</v>
      </c>
      <c r="N100" s="57" t="s">
        <v>94</v>
      </c>
      <c r="O100" s="51" t="s">
        <v>95</v>
      </c>
      <c r="P100" s="54"/>
      <c r="Q100" s="54" t="s">
        <v>131</v>
      </c>
      <c r="R100" s="58" t="s">
        <v>132</v>
      </c>
      <c r="S100" s="54" t="s">
        <v>98</v>
      </c>
    </row>
    <row r="101" customFormat="false" ht="35.05" hidden="false" customHeight="false" outlineLevel="0" collapsed="false">
      <c r="A101" s="51" t="s">
        <v>983</v>
      </c>
      <c r="B101" s="51" t="n">
        <v>97</v>
      </c>
      <c r="C101" s="52" t="s">
        <v>984</v>
      </c>
      <c r="D101" s="53" t="s">
        <v>985</v>
      </c>
      <c r="E101" s="54" t="s">
        <v>986</v>
      </c>
      <c r="F101" s="54" t="s">
        <v>860</v>
      </c>
      <c r="G101" s="54" t="s">
        <v>987</v>
      </c>
      <c r="H101" s="54" t="s">
        <v>988</v>
      </c>
      <c r="I101" s="53" t="s">
        <v>989</v>
      </c>
      <c r="J101" s="54" t="s">
        <v>990</v>
      </c>
      <c r="K101" s="53" t="s">
        <v>991</v>
      </c>
      <c r="L101" s="61" t="s">
        <v>10</v>
      </c>
      <c r="M101" s="56" t="n">
        <v>1</v>
      </c>
      <c r="N101" s="57" t="s">
        <v>94</v>
      </c>
      <c r="O101" s="51" t="s">
        <v>95</v>
      </c>
      <c r="P101" s="54"/>
      <c r="Q101" s="54" t="s">
        <v>131</v>
      </c>
      <c r="R101" s="58" t="s">
        <v>132</v>
      </c>
      <c r="S101" s="54" t="s">
        <v>98</v>
      </c>
    </row>
    <row r="102" customFormat="false" ht="35.05" hidden="false" customHeight="false" outlineLevel="0" collapsed="false">
      <c r="A102" s="51" t="s">
        <v>992</v>
      </c>
      <c r="B102" s="51" t="n">
        <v>98</v>
      </c>
      <c r="C102" s="52" t="s">
        <v>993</v>
      </c>
      <c r="D102" s="53" t="s">
        <v>994</v>
      </c>
      <c r="E102" s="54" t="s">
        <v>995</v>
      </c>
      <c r="F102" s="54" t="s">
        <v>391</v>
      </c>
      <c r="G102" s="54" t="s">
        <v>996</v>
      </c>
      <c r="H102" s="54" t="s">
        <v>997</v>
      </c>
      <c r="I102" s="53" t="s">
        <v>998</v>
      </c>
      <c r="J102" s="54" t="s">
        <v>999</v>
      </c>
      <c r="K102" s="53" t="s">
        <v>1000</v>
      </c>
      <c r="L102" s="61" t="s">
        <v>10</v>
      </c>
      <c r="M102" s="56" t="n">
        <v>1</v>
      </c>
      <c r="N102" s="57" t="s">
        <v>94</v>
      </c>
      <c r="O102" s="51" t="s">
        <v>95</v>
      </c>
      <c r="P102" s="54"/>
      <c r="Q102" s="54" t="s">
        <v>96</v>
      </c>
      <c r="R102" s="58" t="s">
        <v>97</v>
      </c>
      <c r="S102" s="54" t="s">
        <v>98</v>
      </c>
    </row>
    <row r="103" customFormat="false" ht="35.05" hidden="false" customHeight="false" outlineLevel="0" collapsed="false">
      <c r="A103" s="51" t="s">
        <v>1001</v>
      </c>
      <c r="B103" s="51" t="n">
        <v>99</v>
      </c>
      <c r="C103" s="52" t="s">
        <v>1002</v>
      </c>
      <c r="D103" s="53" t="s">
        <v>1003</v>
      </c>
      <c r="E103" s="54" t="s">
        <v>1004</v>
      </c>
      <c r="F103" s="54" t="s">
        <v>115</v>
      </c>
      <c r="G103" s="54" t="s">
        <v>1005</v>
      </c>
      <c r="H103" s="54" t="s">
        <v>1006</v>
      </c>
      <c r="I103" s="53" t="s">
        <v>1007</v>
      </c>
      <c r="J103" s="54" t="s">
        <v>1008</v>
      </c>
      <c r="K103" s="53" t="s">
        <v>1009</v>
      </c>
      <c r="L103" s="61" t="s">
        <v>10</v>
      </c>
      <c r="M103" s="56" t="n">
        <v>1</v>
      </c>
      <c r="N103" s="57" t="s">
        <v>94</v>
      </c>
      <c r="O103" s="51" t="s">
        <v>95</v>
      </c>
      <c r="P103" s="54"/>
      <c r="Q103" s="54" t="s">
        <v>131</v>
      </c>
      <c r="R103" s="58" t="s">
        <v>132</v>
      </c>
      <c r="S103" s="54" t="s">
        <v>98</v>
      </c>
    </row>
    <row r="104" customFormat="false" ht="35.05" hidden="false" customHeight="false" outlineLevel="0" collapsed="false">
      <c r="A104" s="51" t="s">
        <v>1010</v>
      </c>
      <c r="B104" s="51" t="n">
        <v>100</v>
      </c>
      <c r="C104" s="52" t="s">
        <v>1011</v>
      </c>
      <c r="D104" s="53" t="s">
        <v>1012</v>
      </c>
      <c r="E104" s="54" t="s">
        <v>1013</v>
      </c>
      <c r="F104" s="54" t="s">
        <v>137</v>
      </c>
      <c r="G104" s="54" t="s">
        <v>1014</v>
      </c>
      <c r="H104" s="54" t="s">
        <v>1015</v>
      </c>
      <c r="I104" s="53" t="s">
        <v>1016</v>
      </c>
      <c r="J104" s="54" t="s">
        <v>1017</v>
      </c>
      <c r="K104" s="53" t="s">
        <v>1018</v>
      </c>
      <c r="L104" s="61" t="s">
        <v>10</v>
      </c>
      <c r="M104" s="56" t="n">
        <v>1</v>
      </c>
      <c r="N104" s="57" t="s">
        <v>94</v>
      </c>
      <c r="O104" s="51" t="s">
        <v>95</v>
      </c>
      <c r="P104" s="54"/>
      <c r="Q104" s="54" t="s">
        <v>131</v>
      </c>
      <c r="R104" s="58" t="s">
        <v>132</v>
      </c>
      <c r="S104" s="54" t="s">
        <v>98</v>
      </c>
    </row>
  </sheetData>
  <autoFilter ref="A4:S104"/>
  <mergeCells count="2">
    <mergeCell ref="A1:S1"/>
    <mergeCell ref="A2:S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4A853"/>
    <pageSetUpPr fitToPage="true"/>
  </sheetPr>
  <dimension ref="A1:S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
    <col collapsed="false" customWidth="true" hidden="false" outlineLevel="0" max="3" min="3" style="0" width="30"/>
    <col collapsed="false" customWidth="true" hidden="false" outlineLevel="0" max="4" min="4" style="0" width="26"/>
    <col collapsed="false" customWidth="true" hidden="false" outlineLevel="0" max="5" min="5" style="0" width="24"/>
    <col collapsed="false" customWidth="true" hidden="false" outlineLevel="0" max="6" min="6" style="0" width="22"/>
    <col collapsed="false" customWidth="true" hidden="false" outlineLevel="0" max="7" min="7" style="0" width="55"/>
    <col collapsed="false" customWidth="true" hidden="false" outlineLevel="0" max="8" min="8" style="0" width="46"/>
    <col collapsed="false" customWidth="true" hidden="false" outlineLevel="0" max="9" min="9" style="0" width="44"/>
    <col collapsed="false" customWidth="true" hidden="false" outlineLevel="0" max="10" min="10" style="0" width="46"/>
    <col collapsed="false" customWidth="true" hidden="false" outlineLevel="0" max="11" min="11" style="0" width="44"/>
    <col collapsed="false" customWidth="true" hidden="false" outlineLevel="0" max="12" min="12" style="0" width="14"/>
    <col collapsed="false" customWidth="true" hidden="false" outlineLevel="0" max="13" min="13" style="0" width="8"/>
    <col collapsed="false" customWidth="true" hidden="false" outlineLevel="0" max="14" min="14" style="0" width="30"/>
    <col collapsed="false" customWidth="true" hidden="false" outlineLevel="0" max="15" min="15" style="0" width="12"/>
    <col collapsed="false" customWidth="true" hidden="false" outlineLevel="0" max="16" min="16" style="0" width="24"/>
    <col collapsed="false" customWidth="true" hidden="false" outlineLevel="0" max="17" min="17" style="0" width="28"/>
    <col collapsed="false" customWidth="true" hidden="false" outlineLevel="0" max="18" min="18" style="0" width="45"/>
    <col collapsed="false" customWidth="true" hidden="false" outlineLevel="0" max="19" min="19" style="0" width="50"/>
  </cols>
  <sheetData>
    <row r="1" customFormat="false" ht="17.15" hidden="false" customHeight="false" outlineLevel="0" collapsed="false">
      <c r="A1" s="1" t="s">
        <v>4066</v>
      </c>
      <c r="B1" s="1"/>
      <c r="C1" s="1"/>
      <c r="D1" s="1"/>
      <c r="E1" s="1"/>
      <c r="F1" s="1"/>
      <c r="G1" s="1"/>
      <c r="H1" s="1"/>
      <c r="I1" s="1"/>
      <c r="J1" s="1"/>
      <c r="K1" s="1"/>
      <c r="L1" s="1"/>
      <c r="M1" s="1"/>
      <c r="N1" s="1"/>
      <c r="O1" s="1"/>
      <c r="P1" s="1"/>
      <c r="Q1" s="1"/>
      <c r="R1" s="1"/>
      <c r="S1" s="1"/>
    </row>
    <row r="2" customFormat="false" ht="11.9" hidden="false" customHeight="false" outlineLevel="0" collapsed="false">
      <c r="A2" s="2" t="s">
        <v>4067</v>
      </c>
      <c r="B2" s="2"/>
      <c r="C2" s="2"/>
      <c r="D2" s="2"/>
      <c r="E2" s="2"/>
      <c r="F2" s="2"/>
      <c r="G2" s="2"/>
      <c r="H2" s="2"/>
      <c r="I2" s="2"/>
      <c r="J2" s="2"/>
      <c r="K2" s="2"/>
      <c r="L2" s="2"/>
      <c r="M2" s="2"/>
      <c r="N2" s="2"/>
      <c r="O2" s="2"/>
      <c r="P2" s="2"/>
      <c r="Q2" s="2"/>
      <c r="R2" s="2"/>
      <c r="S2" s="2"/>
    </row>
    <row r="4" customFormat="false" ht="30" hidden="false" customHeight="true" outlineLevel="0" collapsed="false">
      <c r="A4" s="3" t="s">
        <v>50</v>
      </c>
      <c r="B4" s="3" t="s">
        <v>74</v>
      </c>
      <c r="C4" s="3" t="s">
        <v>75</v>
      </c>
      <c r="D4" s="3" t="s">
        <v>76</v>
      </c>
      <c r="E4" s="3" t="s">
        <v>54</v>
      </c>
      <c r="F4" s="3" t="s">
        <v>56</v>
      </c>
      <c r="G4" s="3" t="s">
        <v>58</v>
      </c>
      <c r="H4" s="3" t="s">
        <v>77</v>
      </c>
      <c r="I4" s="3" t="s">
        <v>78</v>
      </c>
      <c r="J4" s="3" t="s">
        <v>79</v>
      </c>
      <c r="K4" s="3" t="s">
        <v>80</v>
      </c>
      <c r="L4" s="3" t="s">
        <v>62</v>
      </c>
      <c r="M4" s="3" t="s">
        <v>2</v>
      </c>
      <c r="N4" s="3" t="s">
        <v>81</v>
      </c>
      <c r="O4" s="3" t="s">
        <v>64</v>
      </c>
      <c r="P4" s="3" t="s">
        <v>66</v>
      </c>
      <c r="Q4" s="3" t="s">
        <v>82</v>
      </c>
      <c r="R4" s="3" t="s">
        <v>83</v>
      </c>
      <c r="S4" s="3" t="s">
        <v>70</v>
      </c>
    </row>
    <row r="5" customFormat="false" ht="46.25" hidden="false" customHeight="false" outlineLevel="0" collapsed="false">
      <c r="A5" s="51" t="s">
        <v>1019</v>
      </c>
      <c r="B5" s="51" t="n">
        <v>1</v>
      </c>
      <c r="C5" s="52" t="s">
        <v>1020</v>
      </c>
      <c r="D5" s="53" t="s">
        <v>1021</v>
      </c>
      <c r="E5" s="54" t="s">
        <v>1022</v>
      </c>
      <c r="F5" s="54" t="s">
        <v>1023</v>
      </c>
      <c r="G5" s="54" t="s">
        <v>1024</v>
      </c>
      <c r="H5" s="54" t="s">
        <v>1025</v>
      </c>
      <c r="I5" s="53" t="s">
        <v>1026</v>
      </c>
      <c r="J5" s="54" t="s">
        <v>1027</v>
      </c>
      <c r="K5" s="53" t="s">
        <v>1028</v>
      </c>
      <c r="L5" s="55" t="s">
        <v>8</v>
      </c>
      <c r="M5" s="62" t="n">
        <v>2</v>
      </c>
      <c r="N5" s="63" t="s">
        <v>1029</v>
      </c>
      <c r="O5" s="59" t="s">
        <v>161</v>
      </c>
      <c r="P5" s="54" t="s">
        <v>1030</v>
      </c>
      <c r="Q5" s="54" t="s">
        <v>109</v>
      </c>
      <c r="R5" s="58" t="s">
        <v>110</v>
      </c>
      <c r="S5" s="54" t="s">
        <v>98</v>
      </c>
    </row>
    <row r="6" customFormat="false" ht="68.65" hidden="false" customHeight="false" outlineLevel="0" collapsed="false">
      <c r="A6" s="51" t="s">
        <v>1031</v>
      </c>
      <c r="B6" s="51" t="n">
        <v>2</v>
      </c>
      <c r="C6" s="52" t="s">
        <v>1032</v>
      </c>
      <c r="D6" s="53" t="s">
        <v>1033</v>
      </c>
      <c r="E6" s="54" t="s">
        <v>1034</v>
      </c>
      <c r="F6" s="54" t="s">
        <v>823</v>
      </c>
      <c r="G6" s="54" t="s">
        <v>1035</v>
      </c>
      <c r="H6" s="54" t="s">
        <v>1036</v>
      </c>
      <c r="I6" s="53" t="s">
        <v>1037</v>
      </c>
      <c r="J6" s="54" t="s">
        <v>1038</v>
      </c>
      <c r="K6" s="53" t="s">
        <v>1039</v>
      </c>
      <c r="L6" s="55" t="s">
        <v>8</v>
      </c>
      <c r="M6" s="62" t="n">
        <v>2</v>
      </c>
      <c r="N6" s="63" t="s">
        <v>1029</v>
      </c>
      <c r="O6" s="59" t="s">
        <v>161</v>
      </c>
      <c r="P6" s="54" t="s">
        <v>1040</v>
      </c>
      <c r="Q6" s="54" t="s">
        <v>237</v>
      </c>
      <c r="R6" s="58" t="s">
        <v>238</v>
      </c>
      <c r="S6" s="54" t="s">
        <v>98</v>
      </c>
    </row>
    <row r="7" customFormat="false" ht="35.05" hidden="false" customHeight="false" outlineLevel="0" collapsed="false">
      <c r="A7" s="51" t="s">
        <v>1041</v>
      </c>
      <c r="B7" s="51" t="n">
        <v>3</v>
      </c>
      <c r="C7" s="52" t="s">
        <v>1042</v>
      </c>
      <c r="D7" s="53" t="s">
        <v>1043</v>
      </c>
      <c r="E7" s="54" t="s">
        <v>1044</v>
      </c>
      <c r="F7" s="54" t="s">
        <v>823</v>
      </c>
      <c r="G7" s="54" t="s">
        <v>1045</v>
      </c>
      <c r="H7" s="54" t="s">
        <v>1046</v>
      </c>
      <c r="I7" s="53" t="s">
        <v>1047</v>
      </c>
      <c r="J7" s="54" t="s">
        <v>1048</v>
      </c>
      <c r="K7" s="53" t="s">
        <v>1049</v>
      </c>
      <c r="L7" s="55" t="s">
        <v>8</v>
      </c>
      <c r="M7" s="62" t="n">
        <v>2</v>
      </c>
      <c r="N7" s="63" t="s">
        <v>1029</v>
      </c>
      <c r="O7" s="51" t="s">
        <v>95</v>
      </c>
      <c r="P7" s="54"/>
      <c r="Q7" s="54" t="s">
        <v>96</v>
      </c>
      <c r="R7" s="58" t="s">
        <v>97</v>
      </c>
      <c r="S7" s="54" t="s">
        <v>98</v>
      </c>
    </row>
    <row r="8" customFormat="false" ht="46.25" hidden="false" customHeight="false" outlineLevel="0" collapsed="false">
      <c r="A8" s="51" t="s">
        <v>1050</v>
      </c>
      <c r="B8" s="51" t="n">
        <v>4</v>
      </c>
      <c r="C8" s="52" t="s">
        <v>1051</v>
      </c>
      <c r="D8" s="53" t="s">
        <v>1052</v>
      </c>
      <c r="E8" s="54" t="s">
        <v>1053</v>
      </c>
      <c r="F8" s="54" t="s">
        <v>823</v>
      </c>
      <c r="G8" s="54" t="s">
        <v>1054</v>
      </c>
      <c r="H8" s="54" t="s">
        <v>1055</v>
      </c>
      <c r="I8" s="53" t="s">
        <v>1056</v>
      </c>
      <c r="J8" s="54" t="s">
        <v>1057</v>
      </c>
      <c r="K8" s="53" t="s">
        <v>1058</v>
      </c>
      <c r="L8" s="55" t="s">
        <v>8</v>
      </c>
      <c r="M8" s="62" t="n">
        <v>2</v>
      </c>
      <c r="N8" s="63" t="s">
        <v>1029</v>
      </c>
      <c r="O8" s="59" t="s">
        <v>161</v>
      </c>
      <c r="P8" s="54" t="s">
        <v>1059</v>
      </c>
      <c r="Q8" s="54" t="s">
        <v>109</v>
      </c>
      <c r="R8" s="58" t="s">
        <v>110</v>
      </c>
      <c r="S8" s="54" t="s">
        <v>98</v>
      </c>
    </row>
    <row r="9" customFormat="false" ht="46.25" hidden="false" customHeight="false" outlineLevel="0" collapsed="false">
      <c r="A9" s="51" t="s">
        <v>1060</v>
      </c>
      <c r="B9" s="51" t="n">
        <v>5</v>
      </c>
      <c r="C9" s="52" t="s">
        <v>1061</v>
      </c>
      <c r="D9" s="53" t="s">
        <v>1062</v>
      </c>
      <c r="E9" s="54" t="s">
        <v>1063</v>
      </c>
      <c r="F9" s="54" t="s">
        <v>823</v>
      </c>
      <c r="G9" s="54" t="s">
        <v>1064</v>
      </c>
      <c r="H9" s="54" t="s">
        <v>1065</v>
      </c>
      <c r="I9" s="53" t="s">
        <v>1066</v>
      </c>
      <c r="J9" s="54" t="s">
        <v>1067</v>
      </c>
      <c r="K9" s="53" t="s">
        <v>1068</v>
      </c>
      <c r="L9" s="55" t="s">
        <v>8</v>
      </c>
      <c r="M9" s="62" t="n">
        <v>2</v>
      </c>
      <c r="N9" s="63" t="s">
        <v>1029</v>
      </c>
      <c r="O9" s="51" t="s">
        <v>95</v>
      </c>
      <c r="P9" s="54"/>
      <c r="Q9" s="54" t="s">
        <v>109</v>
      </c>
      <c r="R9" s="58" t="s">
        <v>110</v>
      </c>
      <c r="S9" s="54" t="s">
        <v>98</v>
      </c>
    </row>
    <row r="10" customFormat="false" ht="46.25" hidden="false" customHeight="false" outlineLevel="0" collapsed="false">
      <c r="A10" s="51" t="s">
        <v>1069</v>
      </c>
      <c r="B10" s="51" t="n">
        <v>6</v>
      </c>
      <c r="C10" s="52" t="s">
        <v>1070</v>
      </c>
      <c r="D10" s="53" t="s">
        <v>1071</v>
      </c>
      <c r="E10" s="54" t="s">
        <v>1072</v>
      </c>
      <c r="F10" s="54" t="s">
        <v>823</v>
      </c>
      <c r="G10" s="54" t="s">
        <v>1073</v>
      </c>
      <c r="H10" s="54" t="s">
        <v>1074</v>
      </c>
      <c r="I10" s="53" t="s">
        <v>1075</v>
      </c>
      <c r="J10" s="54" t="s">
        <v>1076</v>
      </c>
      <c r="K10" s="53" t="s">
        <v>1077</v>
      </c>
      <c r="L10" s="55" t="s">
        <v>8</v>
      </c>
      <c r="M10" s="62" t="n">
        <v>2</v>
      </c>
      <c r="N10" s="63" t="s">
        <v>1029</v>
      </c>
      <c r="O10" s="59" t="s">
        <v>161</v>
      </c>
      <c r="P10" s="54" t="s">
        <v>1040</v>
      </c>
      <c r="Q10" s="54" t="s">
        <v>109</v>
      </c>
      <c r="R10" s="58" t="s">
        <v>110</v>
      </c>
      <c r="S10" s="54" t="s">
        <v>98</v>
      </c>
    </row>
    <row r="11" customFormat="false" ht="35.05" hidden="false" customHeight="false" outlineLevel="0" collapsed="false">
      <c r="A11" s="51" t="s">
        <v>1078</v>
      </c>
      <c r="B11" s="51" t="n">
        <v>7</v>
      </c>
      <c r="C11" s="52" t="s">
        <v>1079</v>
      </c>
      <c r="D11" s="53" t="s">
        <v>1080</v>
      </c>
      <c r="E11" s="54" t="s">
        <v>1081</v>
      </c>
      <c r="F11" s="54" t="s">
        <v>823</v>
      </c>
      <c r="G11" s="54" t="s">
        <v>1082</v>
      </c>
      <c r="H11" s="54" t="s">
        <v>1083</v>
      </c>
      <c r="I11" s="53" t="s">
        <v>1084</v>
      </c>
      <c r="J11" s="54" t="s">
        <v>1085</v>
      </c>
      <c r="K11" s="53" t="s">
        <v>1086</v>
      </c>
      <c r="L11" s="55" t="s">
        <v>8</v>
      </c>
      <c r="M11" s="62" t="n">
        <v>2</v>
      </c>
      <c r="N11" s="63" t="s">
        <v>1029</v>
      </c>
      <c r="O11" s="51" t="s">
        <v>95</v>
      </c>
      <c r="P11" s="54"/>
      <c r="Q11" s="54" t="s">
        <v>131</v>
      </c>
      <c r="R11" s="58" t="s">
        <v>132</v>
      </c>
      <c r="S11" s="54" t="s">
        <v>98</v>
      </c>
    </row>
    <row r="12" customFormat="false" ht="35.05" hidden="false" customHeight="false" outlineLevel="0" collapsed="false">
      <c r="A12" s="51" t="s">
        <v>1087</v>
      </c>
      <c r="B12" s="51" t="n">
        <v>8</v>
      </c>
      <c r="C12" s="52" t="s">
        <v>1088</v>
      </c>
      <c r="D12" s="53" t="s">
        <v>1089</v>
      </c>
      <c r="E12" s="54" t="s">
        <v>1090</v>
      </c>
      <c r="F12" s="54" t="s">
        <v>823</v>
      </c>
      <c r="G12" s="54" t="s">
        <v>1091</v>
      </c>
      <c r="H12" s="54" t="s">
        <v>1092</v>
      </c>
      <c r="I12" s="53" t="s">
        <v>1093</v>
      </c>
      <c r="J12" s="54" t="s">
        <v>1094</v>
      </c>
      <c r="K12" s="53" t="s">
        <v>1095</v>
      </c>
      <c r="L12" s="55" t="s">
        <v>8</v>
      </c>
      <c r="M12" s="62" t="n">
        <v>2</v>
      </c>
      <c r="N12" s="63" t="s">
        <v>1029</v>
      </c>
      <c r="O12" s="51" t="s">
        <v>95</v>
      </c>
      <c r="P12" s="54"/>
      <c r="Q12" s="54" t="s">
        <v>96</v>
      </c>
      <c r="R12" s="58" t="s">
        <v>97</v>
      </c>
      <c r="S12" s="54" t="s">
        <v>98</v>
      </c>
    </row>
    <row r="13" customFormat="false" ht="46.25" hidden="false" customHeight="false" outlineLevel="0" collapsed="false">
      <c r="A13" s="51" t="s">
        <v>1096</v>
      </c>
      <c r="B13" s="51" t="n">
        <v>9</v>
      </c>
      <c r="C13" s="52" t="s">
        <v>1097</v>
      </c>
      <c r="D13" s="53" t="s">
        <v>1098</v>
      </c>
      <c r="E13" s="54" t="s">
        <v>1099</v>
      </c>
      <c r="F13" s="54" t="s">
        <v>823</v>
      </c>
      <c r="G13" s="54" t="s">
        <v>1100</v>
      </c>
      <c r="H13" s="54" t="s">
        <v>1101</v>
      </c>
      <c r="I13" s="53" t="s">
        <v>1102</v>
      </c>
      <c r="J13" s="54" t="s">
        <v>1103</v>
      </c>
      <c r="K13" s="53" t="s">
        <v>1104</v>
      </c>
      <c r="L13" s="55" t="s">
        <v>8</v>
      </c>
      <c r="M13" s="62" t="n">
        <v>2</v>
      </c>
      <c r="N13" s="63" t="s">
        <v>1029</v>
      </c>
      <c r="O13" s="59" t="s">
        <v>161</v>
      </c>
      <c r="P13" s="54" t="s">
        <v>1105</v>
      </c>
      <c r="Q13" s="54" t="s">
        <v>441</v>
      </c>
      <c r="R13" s="58" t="s">
        <v>442</v>
      </c>
      <c r="S13" s="54" t="s">
        <v>98</v>
      </c>
    </row>
    <row r="14" customFormat="false" ht="35.05" hidden="false" customHeight="false" outlineLevel="0" collapsed="false">
      <c r="A14" s="51" t="s">
        <v>1106</v>
      </c>
      <c r="B14" s="51" t="n">
        <v>10</v>
      </c>
      <c r="C14" s="52" t="s">
        <v>1107</v>
      </c>
      <c r="D14" s="53" t="s">
        <v>1108</v>
      </c>
      <c r="E14" s="54" t="s">
        <v>1109</v>
      </c>
      <c r="F14" s="54" t="s">
        <v>823</v>
      </c>
      <c r="G14" s="54" t="s">
        <v>1110</v>
      </c>
      <c r="H14" s="54" t="s">
        <v>1111</v>
      </c>
      <c r="I14" s="53" t="s">
        <v>1112</v>
      </c>
      <c r="J14" s="54" t="s">
        <v>1113</v>
      </c>
      <c r="K14" s="53" t="s">
        <v>1114</v>
      </c>
      <c r="L14" s="55" t="s">
        <v>8</v>
      </c>
      <c r="M14" s="62" t="n">
        <v>2</v>
      </c>
      <c r="N14" s="63" t="s">
        <v>1029</v>
      </c>
      <c r="O14" s="59" t="s">
        <v>161</v>
      </c>
      <c r="P14" s="54" t="s">
        <v>1115</v>
      </c>
      <c r="Q14" s="54" t="s">
        <v>516</v>
      </c>
      <c r="R14" s="58" t="s">
        <v>517</v>
      </c>
      <c r="S14" s="54" t="s">
        <v>98</v>
      </c>
    </row>
    <row r="15" customFormat="false" ht="35.05" hidden="false" customHeight="false" outlineLevel="0" collapsed="false">
      <c r="A15" s="51" t="s">
        <v>1116</v>
      </c>
      <c r="B15" s="51" t="n">
        <v>11</v>
      </c>
      <c r="C15" s="52" t="s">
        <v>1117</v>
      </c>
      <c r="D15" s="53" t="s">
        <v>1118</v>
      </c>
      <c r="E15" s="54" t="s">
        <v>1119</v>
      </c>
      <c r="F15" s="54" t="s">
        <v>1120</v>
      </c>
      <c r="G15" s="54" t="s">
        <v>1121</v>
      </c>
      <c r="H15" s="54" t="s">
        <v>1122</v>
      </c>
      <c r="I15" s="53" t="s">
        <v>1123</v>
      </c>
      <c r="J15" s="54" t="s">
        <v>1124</v>
      </c>
      <c r="K15" s="53" t="s">
        <v>1125</v>
      </c>
      <c r="L15" s="55" t="s">
        <v>8</v>
      </c>
      <c r="M15" s="62" t="n">
        <v>2</v>
      </c>
      <c r="N15" s="63" t="s">
        <v>1029</v>
      </c>
      <c r="O15" s="51" t="s">
        <v>95</v>
      </c>
      <c r="P15" s="54"/>
      <c r="Q15" s="54" t="s">
        <v>131</v>
      </c>
      <c r="R15" s="58" t="s">
        <v>132</v>
      </c>
      <c r="S15" s="54" t="s">
        <v>98</v>
      </c>
    </row>
    <row r="16" customFormat="false" ht="46.25" hidden="false" customHeight="false" outlineLevel="0" collapsed="false">
      <c r="A16" s="51" t="s">
        <v>1126</v>
      </c>
      <c r="B16" s="51" t="n">
        <v>12</v>
      </c>
      <c r="C16" s="52" t="s">
        <v>1127</v>
      </c>
      <c r="D16" s="53" t="s">
        <v>1128</v>
      </c>
      <c r="E16" s="54" t="s">
        <v>1129</v>
      </c>
      <c r="F16" s="54" t="s">
        <v>823</v>
      </c>
      <c r="G16" s="54" t="s">
        <v>1130</v>
      </c>
      <c r="H16" s="54" t="s">
        <v>1131</v>
      </c>
      <c r="I16" s="53" t="s">
        <v>1132</v>
      </c>
      <c r="J16" s="54" t="s">
        <v>1133</v>
      </c>
      <c r="K16" s="53" t="s">
        <v>1134</v>
      </c>
      <c r="L16" s="55" t="s">
        <v>8</v>
      </c>
      <c r="M16" s="62" t="n">
        <v>2</v>
      </c>
      <c r="N16" s="63" t="s">
        <v>1029</v>
      </c>
      <c r="O16" s="59" t="s">
        <v>161</v>
      </c>
      <c r="P16" s="54" t="s">
        <v>1105</v>
      </c>
      <c r="Q16" s="54" t="s">
        <v>441</v>
      </c>
      <c r="R16" s="58" t="s">
        <v>442</v>
      </c>
      <c r="S16" s="54" t="s">
        <v>98</v>
      </c>
    </row>
    <row r="17" customFormat="false" ht="35.05" hidden="false" customHeight="false" outlineLevel="0" collapsed="false">
      <c r="A17" s="51" t="s">
        <v>1135</v>
      </c>
      <c r="B17" s="51" t="n">
        <v>13</v>
      </c>
      <c r="C17" s="52" t="s">
        <v>1136</v>
      </c>
      <c r="D17" s="53" t="s">
        <v>1137</v>
      </c>
      <c r="E17" s="54" t="s">
        <v>1138</v>
      </c>
      <c r="F17" s="54" t="s">
        <v>1023</v>
      </c>
      <c r="G17" s="54" t="s">
        <v>1139</v>
      </c>
      <c r="H17" s="54" t="s">
        <v>1140</v>
      </c>
      <c r="I17" s="53" t="s">
        <v>1141</v>
      </c>
      <c r="J17" s="54" t="s">
        <v>1142</v>
      </c>
      <c r="K17" s="53" t="s">
        <v>1143</v>
      </c>
      <c r="L17" s="55" t="s">
        <v>8</v>
      </c>
      <c r="M17" s="62" t="n">
        <v>2</v>
      </c>
      <c r="N17" s="63" t="s">
        <v>1029</v>
      </c>
      <c r="O17" s="59" t="s">
        <v>161</v>
      </c>
      <c r="P17" s="54" t="s">
        <v>1030</v>
      </c>
      <c r="Q17" s="54" t="s">
        <v>96</v>
      </c>
      <c r="R17" s="58" t="s">
        <v>97</v>
      </c>
      <c r="S17" s="54" t="s">
        <v>98</v>
      </c>
    </row>
    <row r="18" customFormat="false" ht="35.05" hidden="false" customHeight="false" outlineLevel="0" collapsed="false">
      <c r="A18" s="51" t="s">
        <v>1144</v>
      </c>
      <c r="B18" s="51" t="n">
        <v>14</v>
      </c>
      <c r="C18" s="52" t="s">
        <v>1145</v>
      </c>
      <c r="D18" s="53" t="s">
        <v>1146</v>
      </c>
      <c r="E18" s="54" t="s">
        <v>1147</v>
      </c>
      <c r="F18" s="54" t="s">
        <v>823</v>
      </c>
      <c r="G18" s="54" t="s">
        <v>1148</v>
      </c>
      <c r="H18" s="54" t="s">
        <v>1149</v>
      </c>
      <c r="I18" s="53" t="s">
        <v>1150</v>
      </c>
      <c r="J18" s="54" t="s">
        <v>1151</v>
      </c>
      <c r="K18" s="53" t="s">
        <v>1152</v>
      </c>
      <c r="L18" s="55" t="s">
        <v>8</v>
      </c>
      <c r="M18" s="62" t="n">
        <v>2</v>
      </c>
      <c r="N18" s="63" t="s">
        <v>1029</v>
      </c>
      <c r="O18" s="51" t="s">
        <v>95</v>
      </c>
      <c r="P18" s="54"/>
      <c r="Q18" s="54" t="s">
        <v>96</v>
      </c>
      <c r="R18" s="58" t="s">
        <v>97</v>
      </c>
      <c r="S18" s="54" t="s">
        <v>98</v>
      </c>
    </row>
    <row r="19" customFormat="false" ht="35.05" hidden="false" customHeight="false" outlineLevel="0" collapsed="false">
      <c r="A19" s="51" t="s">
        <v>1153</v>
      </c>
      <c r="B19" s="51" t="n">
        <v>15</v>
      </c>
      <c r="C19" s="52" t="s">
        <v>1154</v>
      </c>
      <c r="D19" s="53" t="s">
        <v>1155</v>
      </c>
      <c r="E19" s="54" t="s">
        <v>1156</v>
      </c>
      <c r="F19" s="54" t="s">
        <v>1157</v>
      </c>
      <c r="G19" s="54" t="s">
        <v>1158</v>
      </c>
      <c r="H19" s="54" t="s">
        <v>1159</v>
      </c>
      <c r="I19" s="53" t="s">
        <v>1160</v>
      </c>
      <c r="J19" s="54" t="s">
        <v>1161</v>
      </c>
      <c r="K19" s="53" t="s">
        <v>1162</v>
      </c>
      <c r="L19" s="55" t="s">
        <v>8</v>
      </c>
      <c r="M19" s="62" t="n">
        <v>2</v>
      </c>
      <c r="N19" s="63" t="s">
        <v>1029</v>
      </c>
      <c r="O19" s="51" t="s">
        <v>95</v>
      </c>
      <c r="P19" s="54"/>
      <c r="Q19" s="54" t="s">
        <v>131</v>
      </c>
      <c r="R19" s="58" t="s">
        <v>132</v>
      </c>
      <c r="S19" s="54" t="s">
        <v>98</v>
      </c>
    </row>
    <row r="20" customFormat="false" ht="35.05" hidden="false" customHeight="false" outlineLevel="0" collapsed="false">
      <c r="A20" s="51" t="s">
        <v>1163</v>
      </c>
      <c r="B20" s="51" t="n">
        <v>16</v>
      </c>
      <c r="C20" s="52" t="s">
        <v>1164</v>
      </c>
      <c r="D20" s="53" t="s">
        <v>1165</v>
      </c>
      <c r="E20" s="54" t="s">
        <v>1166</v>
      </c>
      <c r="F20" s="54" t="s">
        <v>88</v>
      </c>
      <c r="G20" s="54" t="s">
        <v>1167</v>
      </c>
      <c r="H20" s="54" t="s">
        <v>1168</v>
      </c>
      <c r="I20" s="53" t="s">
        <v>1169</v>
      </c>
      <c r="J20" s="54" t="s">
        <v>1170</v>
      </c>
      <c r="K20" s="53" t="s">
        <v>1171</v>
      </c>
      <c r="L20" s="55" t="s">
        <v>8</v>
      </c>
      <c r="M20" s="62" t="n">
        <v>2</v>
      </c>
      <c r="N20" s="63" t="s">
        <v>1029</v>
      </c>
      <c r="O20" s="51" t="s">
        <v>95</v>
      </c>
      <c r="P20" s="54"/>
      <c r="Q20" s="54" t="s">
        <v>131</v>
      </c>
      <c r="R20" s="58" t="s">
        <v>132</v>
      </c>
      <c r="S20" s="54" t="s">
        <v>98</v>
      </c>
    </row>
    <row r="21" customFormat="false" ht="35.05" hidden="false" customHeight="false" outlineLevel="0" collapsed="false">
      <c r="A21" s="51" t="s">
        <v>1172</v>
      </c>
      <c r="B21" s="51" t="n">
        <v>17</v>
      </c>
      <c r="C21" s="52" t="s">
        <v>1173</v>
      </c>
      <c r="D21" s="53" t="s">
        <v>1174</v>
      </c>
      <c r="E21" s="54" t="s">
        <v>1175</v>
      </c>
      <c r="F21" s="54" t="s">
        <v>88</v>
      </c>
      <c r="G21" s="54" t="s">
        <v>1176</v>
      </c>
      <c r="H21" s="54" t="s">
        <v>1177</v>
      </c>
      <c r="I21" s="53" t="s">
        <v>1178</v>
      </c>
      <c r="J21" s="54" t="s">
        <v>1179</v>
      </c>
      <c r="K21" s="53" t="s">
        <v>1180</v>
      </c>
      <c r="L21" s="60" t="s">
        <v>9</v>
      </c>
      <c r="M21" s="62" t="n">
        <v>2</v>
      </c>
      <c r="N21" s="63" t="s">
        <v>1029</v>
      </c>
      <c r="O21" s="51" t="s">
        <v>95</v>
      </c>
      <c r="P21" s="54"/>
      <c r="Q21" s="54" t="s">
        <v>131</v>
      </c>
      <c r="R21" s="58" t="s">
        <v>132</v>
      </c>
      <c r="S21" s="54" t="s">
        <v>98</v>
      </c>
    </row>
    <row r="22" customFormat="false" ht="35.05" hidden="false" customHeight="false" outlineLevel="0" collapsed="false">
      <c r="A22" s="51" t="s">
        <v>1181</v>
      </c>
      <c r="B22" s="51" t="n">
        <v>18</v>
      </c>
      <c r="C22" s="52" t="s">
        <v>1182</v>
      </c>
      <c r="D22" s="53" t="s">
        <v>1183</v>
      </c>
      <c r="E22" s="54" t="s">
        <v>1184</v>
      </c>
      <c r="F22" s="54" t="s">
        <v>289</v>
      </c>
      <c r="G22" s="54" t="s">
        <v>1185</v>
      </c>
      <c r="H22" s="54" t="s">
        <v>1186</v>
      </c>
      <c r="I22" s="53" t="s">
        <v>1187</v>
      </c>
      <c r="J22" s="54" t="s">
        <v>1188</v>
      </c>
      <c r="K22" s="53" t="s">
        <v>1189</v>
      </c>
      <c r="L22" s="60" t="s">
        <v>9</v>
      </c>
      <c r="M22" s="62" t="n">
        <v>2</v>
      </c>
      <c r="N22" s="63" t="s">
        <v>1029</v>
      </c>
      <c r="O22" s="51" t="s">
        <v>95</v>
      </c>
      <c r="P22" s="54"/>
      <c r="Q22" s="54" t="s">
        <v>131</v>
      </c>
      <c r="R22" s="58" t="s">
        <v>132</v>
      </c>
      <c r="S22" s="54" t="s">
        <v>98</v>
      </c>
    </row>
    <row r="23" customFormat="false" ht="35.05" hidden="false" customHeight="false" outlineLevel="0" collapsed="false">
      <c r="A23" s="51" t="s">
        <v>1190</v>
      </c>
      <c r="B23" s="51" t="n">
        <v>19</v>
      </c>
      <c r="C23" s="52" t="s">
        <v>1191</v>
      </c>
      <c r="D23" s="53" t="s">
        <v>1192</v>
      </c>
      <c r="E23" s="54" t="s">
        <v>1193</v>
      </c>
      <c r="F23" s="54" t="s">
        <v>1120</v>
      </c>
      <c r="G23" s="54" t="s">
        <v>1194</v>
      </c>
      <c r="H23" s="54" t="s">
        <v>1195</v>
      </c>
      <c r="I23" s="53" t="s">
        <v>1196</v>
      </c>
      <c r="J23" s="54" t="s">
        <v>1197</v>
      </c>
      <c r="K23" s="53" t="s">
        <v>1198</v>
      </c>
      <c r="L23" s="60" t="s">
        <v>9</v>
      </c>
      <c r="M23" s="62" t="n">
        <v>2</v>
      </c>
      <c r="N23" s="63" t="s">
        <v>1029</v>
      </c>
      <c r="O23" s="51" t="s">
        <v>95</v>
      </c>
      <c r="P23" s="54"/>
      <c r="Q23" s="54" t="s">
        <v>131</v>
      </c>
      <c r="R23" s="58" t="s">
        <v>132</v>
      </c>
      <c r="S23" s="54" t="s">
        <v>98</v>
      </c>
    </row>
    <row r="24" customFormat="false" ht="35.05" hidden="false" customHeight="false" outlineLevel="0" collapsed="false">
      <c r="A24" s="51" t="s">
        <v>1199</v>
      </c>
      <c r="B24" s="51" t="n">
        <v>20</v>
      </c>
      <c r="C24" s="52" t="s">
        <v>1200</v>
      </c>
      <c r="D24" s="53" t="s">
        <v>1201</v>
      </c>
      <c r="E24" s="54" t="s">
        <v>1202</v>
      </c>
      <c r="F24" s="54" t="s">
        <v>88</v>
      </c>
      <c r="G24" s="54" t="s">
        <v>1203</v>
      </c>
      <c r="H24" s="54" t="s">
        <v>1204</v>
      </c>
      <c r="I24" s="53" t="s">
        <v>1205</v>
      </c>
      <c r="J24" s="54" t="s">
        <v>1206</v>
      </c>
      <c r="K24" s="53" t="s">
        <v>1207</v>
      </c>
      <c r="L24" s="60" t="s">
        <v>9</v>
      </c>
      <c r="M24" s="62" t="n">
        <v>2</v>
      </c>
      <c r="N24" s="63" t="s">
        <v>1029</v>
      </c>
      <c r="O24" s="51" t="s">
        <v>95</v>
      </c>
      <c r="P24" s="54"/>
      <c r="Q24" s="54" t="s">
        <v>131</v>
      </c>
      <c r="R24" s="58" t="s">
        <v>132</v>
      </c>
      <c r="S24" s="54" t="s">
        <v>98</v>
      </c>
    </row>
    <row r="25" customFormat="false" ht="46.25" hidden="false" customHeight="false" outlineLevel="0" collapsed="false">
      <c r="A25" s="51" t="s">
        <v>1208</v>
      </c>
      <c r="B25" s="51" t="n">
        <v>21</v>
      </c>
      <c r="C25" s="52" t="s">
        <v>1209</v>
      </c>
      <c r="D25" s="53" t="s">
        <v>1210</v>
      </c>
      <c r="E25" s="54" t="s">
        <v>1211</v>
      </c>
      <c r="F25" s="54" t="s">
        <v>125</v>
      </c>
      <c r="G25" s="54" t="s">
        <v>1212</v>
      </c>
      <c r="H25" s="54" t="s">
        <v>1213</v>
      </c>
      <c r="I25" s="53" t="s">
        <v>1214</v>
      </c>
      <c r="J25" s="54" t="s">
        <v>1215</v>
      </c>
      <c r="K25" s="53" t="s">
        <v>1216</v>
      </c>
      <c r="L25" s="60" t="s">
        <v>9</v>
      </c>
      <c r="M25" s="62" t="n">
        <v>2</v>
      </c>
      <c r="N25" s="63" t="s">
        <v>1029</v>
      </c>
      <c r="O25" s="51" t="s">
        <v>95</v>
      </c>
      <c r="P25" s="54"/>
      <c r="Q25" s="54" t="s">
        <v>621</v>
      </c>
      <c r="R25" s="58" t="s">
        <v>622</v>
      </c>
      <c r="S25" s="54" t="s">
        <v>98</v>
      </c>
    </row>
    <row r="26" customFormat="false" ht="35.05" hidden="false" customHeight="false" outlineLevel="0" collapsed="false">
      <c r="A26" s="51" t="s">
        <v>1217</v>
      </c>
      <c r="B26" s="51" t="n">
        <v>22</v>
      </c>
      <c r="C26" s="52" t="s">
        <v>1218</v>
      </c>
      <c r="D26" s="53" t="s">
        <v>1219</v>
      </c>
      <c r="E26" s="54" t="s">
        <v>1220</v>
      </c>
      <c r="F26" s="54" t="s">
        <v>115</v>
      </c>
      <c r="G26" s="54" t="s">
        <v>1221</v>
      </c>
      <c r="H26" s="54" t="s">
        <v>1222</v>
      </c>
      <c r="I26" s="53" t="s">
        <v>1223</v>
      </c>
      <c r="J26" s="54" t="s">
        <v>1224</v>
      </c>
      <c r="K26" s="53" t="s">
        <v>1225</v>
      </c>
      <c r="L26" s="60" t="s">
        <v>9</v>
      </c>
      <c r="M26" s="62" t="n">
        <v>2</v>
      </c>
      <c r="N26" s="63" t="s">
        <v>1029</v>
      </c>
      <c r="O26" s="51" t="s">
        <v>95</v>
      </c>
      <c r="P26" s="54"/>
      <c r="Q26" s="54" t="s">
        <v>131</v>
      </c>
      <c r="R26" s="58" t="s">
        <v>132</v>
      </c>
      <c r="S26" s="54" t="s">
        <v>98</v>
      </c>
    </row>
    <row r="27" customFormat="false" ht="35.05" hidden="false" customHeight="false" outlineLevel="0" collapsed="false">
      <c r="A27" s="51" t="s">
        <v>1226</v>
      </c>
      <c r="B27" s="51" t="n">
        <v>23</v>
      </c>
      <c r="C27" s="52" t="s">
        <v>1227</v>
      </c>
      <c r="D27" s="53" t="s">
        <v>1228</v>
      </c>
      <c r="E27" s="54" t="s">
        <v>1229</v>
      </c>
      <c r="F27" s="54" t="s">
        <v>88</v>
      </c>
      <c r="G27" s="54" t="s">
        <v>1230</v>
      </c>
      <c r="H27" s="54" t="s">
        <v>1231</v>
      </c>
      <c r="I27" s="53" t="s">
        <v>1232</v>
      </c>
      <c r="J27" s="54" t="s">
        <v>1233</v>
      </c>
      <c r="K27" s="53" t="s">
        <v>1234</v>
      </c>
      <c r="L27" s="60" t="s">
        <v>9</v>
      </c>
      <c r="M27" s="62" t="n">
        <v>2</v>
      </c>
      <c r="N27" s="63" t="s">
        <v>1029</v>
      </c>
      <c r="O27" s="59" t="s">
        <v>161</v>
      </c>
      <c r="P27" s="54" t="s">
        <v>1235</v>
      </c>
      <c r="Q27" s="54" t="s">
        <v>131</v>
      </c>
      <c r="R27" s="58" t="s">
        <v>132</v>
      </c>
      <c r="S27" s="54" t="s">
        <v>98</v>
      </c>
    </row>
    <row r="28" customFormat="false" ht="35.05" hidden="false" customHeight="false" outlineLevel="0" collapsed="false">
      <c r="A28" s="51" t="s">
        <v>1236</v>
      </c>
      <c r="B28" s="51" t="n">
        <v>24</v>
      </c>
      <c r="C28" s="52" t="s">
        <v>1237</v>
      </c>
      <c r="D28" s="53" t="s">
        <v>1238</v>
      </c>
      <c r="E28" s="54" t="s">
        <v>1239</v>
      </c>
      <c r="F28" s="54" t="s">
        <v>1120</v>
      </c>
      <c r="G28" s="54" t="s">
        <v>1240</v>
      </c>
      <c r="H28" s="54" t="s">
        <v>1241</v>
      </c>
      <c r="I28" s="53" t="s">
        <v>1242</v>
      </c>
      <c r="J28" s="54" t="s">
        <v>1243</v>
      </c>
      <c r="K28" s="53" t="s">
        <v>1244</v>
      </c>
      <c r="L28" s="60" t="s">
        <v>9</v>
      </c>
      <c r="M28" s="62" t="n">
        <v>2</v>
      </c>
      <c r="N28" s="63" t="s">
        <v>1029</v>
      </c>
      <c r="O28" s="51" t="s">
        <v>95</v>
      </c>
      <c r="P28" s="54"/>
      <c r="Q28" s="54" t="s">
        <v>131</v>
      </c>
      <c r="R28" s="58" t="s">
        <v>132</v>
      </c>
      <c r="S28" s="54" t="s">
        <v>98</v>
      </c>
    </row>
    <row r="29" customFormat="false" ht="35.05" hidden="false" customHeight="false" outlineLevel="0" collapsed="false">
      <c r="A29" s="51" t="s">
        <v>1245</v>
      </c>
      <c r="B29" s="51" t="n">
        <v>25</v>
      </c>
      <c r="C29" s="52" t="s">
        <v>1246</v>
      </c>
      <c r="D29" s="53" t="s">
        <v>1247</v>
      </c>
      <c r="E29" s="54" t="s">
        <v>1248</v>
      </c>
      <c r="F29" s="54" t="s">
        <v>823</v>
      </c>
      <c r="G29" s="54" t="s">
        <v>1249</v>
      </c>
      <c r="H29" s="54" t="s">
        <v>1250</v>
      </c>
      <c r="I29" s="53" t="s">
        <v>1251</v>
      </c>
      <c r="J29" s="54" t="s">
        <v>1252</v>
      </c>
      <c r="K29" s="53" t="s">
        <v>1253</v>
      </c>
      <c r="L29" s="60" t="s">
        <v>9</v>
      </c>
      <c r="M29" s="62" t="n">
        <v>2</v>
      </c>
      <c r="N29" s="63" t="s">
        <v>1029</v>
      </c>
      <c r="O29" s="51" t="s">
        <v>95</v>
      </c>
      <c r="P29" s="54"/>
      <c r="Q29" s="54" t="s">
        <v>131</v>
      </c>
      <c r="R29" s="58" t="s">
        <v>132</v>
      </c>
      <c r="S29" s="54" t="s">
        <v>98</v>
      </c>
    </row>
    <row r="30" customFormat="false" ht="35.05" hidden="false" customHeight="false" outlineLevel="0" collapsed="false">
      <c r="A30" s="51" t="s">
        <v>1254</v>
      </c>
      <c r="B30" s="51" t="n">
        <v>26</v>
      </c>
      <c r="C30" s="52" t="s">
        <v>1255</v>
      </c>
      <c r="D30" s="53" t="s">
        <v>1256</v>
      </c>
      <c r="E30" s="54" t="s">
        <v>1257</v>
      </c>
      <c r="F30" s="54" t="s">
        <v>88</v>
      </c>
      <c r="G30" s="54" t="s">
        <v>1258</v>
      </c>
      <c r="H30" s="54" t="s">
        <v>1259</v>
      </c>
      <c r="I30" s="53" t="s">
        <v>1260</v>
      </c>
      <c r="J30" s="54" t="s">
        <v>1261</v>
      </c>
      <c r="K30" s="53" t="s">
        <v>1262</v>
      </c>
      <c r="L30" s="60" t="s">
        <v>9</v>
      </c>
      <c r="M30" s="62" t="n">
        <v>2</v>
      </c>
      <c r="N30" s="63" t="s">
        <v>1029</v>
      </c>
      <c r="O30" s="51" t="s">
        <v>95</v>
      </c>
      <c r="P30" s="54"/>
      <c r="Q30" s="54" t="s">
        <v>131</v>
      </c>
      <c r="R30" s="58" t="s">
        <v>132</v>
      </c>
      <c r="S30" s="54" t="s">
        <v>98</v>
      </c>
    </row>
    <row r="31" customFormat="false" ht="35.05" hidden="false" customHeight="false" outlineLevel="0" collapsed="false">
      <c r="A31" s="51" t="s">
        <v>1263</v>
      </c>
      <c r="B31" s="51" t="n">
        <v>27</v>
      </c>
      <c r="C31" s="52" t="s">
        <v>1264</v>
      </c>
      <c r="D31" s="53" t="s">
        <v>1265</v>
      </c>
      <c r="E31" s="54" t="s">
        <v>1266</v>
      </c>
      <c r="F31" s="54" t="s">
        <v>1157</v>
      </c>
      <c r="G31" s="54" t="s">
        <v>1267</v>
      </c>
      <c r="H31" s="54" t="s">
        <v>1268</v>
      </c>
      <c r="I31" s="53" t="s">
        <v>1269</v>
      </c>
      <c r="J31" s="54" t="s">
        <v>1270</v>
      </c>
      <c r="K31" s="53" t="s">
        <v>1271</v>
      </c>
      <c r="L31" s="60" t="s">
        <v>9</v>
      </c>
      <c r="M31" s="62" t="n">
        <v>2</v>
      </c>
      <c r="N31" s="63" t="s">
        <v>1029</v>
      </c>
      <c r="O31" s="51" t="s">
        <v>95</v>
      </c>
      <c r="P31" s="54"/>
      <c r="Q31" s="54" t="s">
        <v>96</v>
      </c>
      <c r="R31" s="58" t="s">
        <v>97</v>
      </c>
      <c r="S31" s="54" t="s">
        <v>98</v>
      </c>
    </row>
    <row r="32" customFormat="false" ht="35.05" hidden="false" customHeight="false" outlineLevel="0" collapsed="false">
      <c r="A32" s="51" t="s">
        <v>1272</v>
      </c>
      <c r="B32" s="51" t="n">
        <v>28</v>
      </c>
      <c r="C32" s="52" t="s">
        <v>289</v>
      </c>
      <c r="D32" s="53" t="s">
        <v>1273</v>
      </c>
      <c r="E32" s="54" t="s">
        <v>1274</v>
      </c>
      <c r="F32" s="54" t="s">
        <v>289</v>
      </c>
      <c r="G32" s="54" t="s">
        <v>1275</v>
      </c>
      <c r="H32" s="54" t="s">
        <v>1276</v>
      </c>
      <c r="I32" s="53" t="s">
        <v>1277</v>
      </c>
      <c r="J32" s="54" t="s">
        <v>1278</v>
      </c>
      <c r="K32" s="53" t="s">
        <v>1279</v>
      </c>
      <c r="L32" s="60" t="s">
        <v>9</v>
      </c>
      <c r="M32" s="62" t="n">
        <v>2</v>
      </c>
      <c r="N32" s="63" t="s">
        <v>1029</v>
      </c>
      <c r="O32" s="51" t="s">
        <v>95</v>
      </c>
      <c r="P32" s="54"/>
      <c r="Q32" s="54" t="s">
        <v>131</v>
      </c>
      <c r="R32" s="58" t="s">
        <v>132</v>
      </c>
      <c r="S32" s="54" t="s">
        <v>98</v>
      </c>
    </row>
    <row r="33" customFormat="false" ht="35.05" hidden="false" customHeight="false" outlineLevel="0" collapsed="false">
      <c r="A33" s="51" t="s">
        <v>1280</v>
      </c>
      <c r="B33" s="51" t="n">
        <v>29</v>
      </c>
      <c r="C33" s="52" t="s">
        <v>1281</v>
      </c>
      <c r="D33" s="53" t="s">
        <v>1282</v>
      </c>
      <c r="E33" s="54" t="s">
        <v>1283</v>
      </c>
      <c r="F33" s="54" t="s">
        <v>88</v>
      </c>
      <c r="G33" s="54" t="s">
        <v>1284</v>
      </c>
      <c r="H33" s="54" t="s">
        <v>1285</v>
      </c>
      <c r="I33" s="53" t="s">
        <v>1286</v>
      </c>
      <c r="J33" s="54" t="s">
        <v>1287</v>
      </c>
      <c r="K33" s="53" t="s">
        <v>1288</v>
      </c>
      <c r="L33" s="60" t="s">
        <v>9</v>
      </c>
      <c r="M33" s="62" t="n">
        <v>2</v>
      </c>
      <c r="N33" s="63" t="s">
        <v>1029</v>
      </c>
      <c r="O33" s="51" t="s">
        <v>95</v>
      </c>
      <c r="P33" s="54"/>
      <c r="Q33" s="54" t="s">
        <v>131</v>
      </c>
      <c r="R33" s="58" t="s">
        <v>132</v>
      </c>
      <c r="S33" s="54" t="s">
        <v>98</v>
      </c>
    </row>
    <row r="34" customFormat="false" ht="35.05" hidden="false" customHeight="false" outlineLevel="0" collapsed="false">
      <c r="A34" s="51" t="s">
        <v>1289</v>
      </c>
      <c r="B34" s="51" t="n">
        <v>30</v>
      </c>
      <c r="C34" s="52" t="s">
        <v>1290</v>
      </c>
      <c r="D34" s="53" t="s">
        <v>1291</v>
      </c>
      <c r="E34" s="54" t="s">
        <v>1292</v>
      </c>
      <c r="F34" s="54" t="s">
        <v>88</v>
      </c>
      <c r="G34" s="54" t="s">
        <v>1293</v>
      </c>
      <c r="H34" s="54" t="s">
        <v>1294</v>
      </c>
      <c r="I34" s="53" t="s">
        <v>1295</v>
      </c>
      <c r="J34" s="54" t="s">
        <v>1296</v>
      </c>
      <c r="K34" s="53" t="s">
        <v>1297</v>
      </c>
      <c r="L34" s="60" t="s">
        <v>9</v>
      </c>
      <c r="M34" s="62" t="n">
        <v>2</v>
      </c>
      <c r="N34" s="63" t="s">
        <v>1029</v>
      </c>
      <c r="O34" s="51" t="s">
        <v>95</v>
      </c>
      <c r="P34" s="54"/>
      <c r="Q34" s="54" t="s">
        <v>131</v>
      </c>
      <c r="R34" s="58" t="s">
        <v>132</v>
      </c>
      <c r="S34" s="54" t="s">
        <v>98</v>
      </c>
    </row>
    <row r="35" customFormat="false" ht="35.05" hidden="false" customHeight="false" outlineLevel="0" collapsed="false">
      <c r="A35" s="51" t="s">
        <v>1298</v>
      </c>
      <c r="B35" s="51" t="n">
        <v>31</v>
      </c>
      <c r="C35" s="52" t="s">
        <v>1299</v>
      </c>
      <c r="D35" s="53" t="s">
        <v>1300</v>
      </c>
      <c r="E35" s="54" t="s">
        <v>1301</v>
      </c>
      <c r="F35" s="54" t="s">
        <v>823</v>
      </c>
      <c r="G35" s="54" t="s">
        <v>1302</v>
      </c>
      <c r="H35" s="54" t="s">
        <v>1303</v>
      </c>
      <c r="I35" s="53" t="s">
        <v>1304</v>
      </c>
      <c r="J35" s="54" t="s">
        <v>1305</v>
      </c>
      <c r="K35" s="53" t="s">
        <v>1306</v>
      </c>
      <c r="L35" s="60" t="s">
        <v>9</v>
      </c>
      <c r="M35" s="62" t="n">
        <v>2</v>
      </c>
      <c r="N35" s="63" t="s">
        <v>1029</v>
      </c>
      <c r="O35" s="59" t="s">
        <v>161</v>
      </c>
      <c r="P35" s="54" t="s">
        <v>1307</v>
      </c>
      <c r="Q35" s="54" t="s">
        <v>96</v>
      </c>
      <c r="R35" s="58" t="s">
        <v>97</v>
      </c>
      <c r="S35" s="54" t="s">
        <v>98</v>
      </c>
    </row>
    <row r="36" customFormat="false" ht="35.05" hidden="false" customHeight="false" outlineLevel="0" collapsed="false">
      <c r="A36" s="51" t="s">
        <v>1308</v>
      </c>
      <c r="B36" s="51" t="n">
        <v>32</v>
      </c>
      <c r="C36" s="52" t="s">
        <v>1309</v>
      </c>
      <c r="D36" s="53" t="s">
        <v>1310</v>
      </c>
      <c r="E36" s="54" t="s">
        <v>1311</v>
      </c>
      <c r="F36" s="54" t="s">
        <v>1157</v>
      </c>
      <c r="G36" s="54" t="s">
        <v>1312</v>
      </c>
      <c r="H36" s="54" t="s">
        <v>1313</v>
      </c>
      <c r="I36" s="53" t="s">
        <v>1314</v>
      </c>
      <c r="J36" s="54" t="s">
        <v>1315</v>
      </c>
      <c r="K36" s="53" t="s">
        <v>1316</v>
      </c>
      <c r="L36" s="60" t="s">
        <v>9</v>
      </c>
      <c r="M36" s="62" t="n">
        <v>2</v>
      </c>
      <c r="N36" s="63" t="s">
        <v>1029</v>
      </c>
      <c r="O36" s="51" t="s">
        <v>95</v>
      </c>
      <c r="P36" s="54"/>
      <c r="Q36" s="54" t="s">
        <v>96</v>
      </c>
      <c r="R36" s="58" t="s">
        <v>97</v>
      </c>
      <c r="S36" s="54" t="s">
        <v>98</v>
      </c>
    </row>
    <row r="37" customFormat="false" ht="35.05" hidden="false" customHeight="false" outlineLevel="0" collapsed="false">
      <c r="A37" s="51" t="s">
        <v>1317</v>
      </c>
      <c r="B37" s="51" t="n">
        <v>33</v>
      </c>
      <c r="C37" s="52" t="s">
        <v>1318</v>
      </c>
      <c r="D37" s="53" t="s">
        <v>1319</v>
      </c>
      <c r="E37" s="54" t="s">
        <v>1320</v>
      </c>
      <c r="F37" s="54" t="s">
        <v>1157</v>
      </c>
      <c r="G37" s="54" t="s">
        <v>1321</v>
      </c>
      <c r="H37" s="54" t="s">
        <v>1322</v>
      </c>
      <c r="I37" s="53" t="s">
        <v>1323</v>
      </c>
      <c r="J37" s="54" t="s">
        <v>1324</v>
      </c>
      <c r="K37" s="53" t="s">
        <v>1325</v>
      </c>
      <c r="L37" s="60" t="s">
        <v>9</v>
      </c>
      <c r="M37" s="62" t="n">
        <v>2</v>
      </c>
      <c r="N37" s="63" t="s">
        <v>1029</v>
      </c>
      <c r="O37" s="51" t="s">
        <v>95</v>
      </c>
      <c r="P37" s="54"/>
      <c r="Q37" s="54" t="s">
        <v>131</v>
      </c>
      <c r="R37" s="58" t="s">
        <v>132</v>
      </c>
      <c r="S37" s="54" t="s">
        <v>98</v>
      </c>
    </row>
    <row r="38" customFormat="false" ht="35.05" hidden="false" customHeight="false" outlineLevel="0" collapsed="false">
      <c r="A38" s="51" t="s">
        <v>1326</v>
      </c>
      <c r="B38" s="51" t="n">
        <v>34</v>
      </c>
      <c r="C38" s="52" t="s">
        <v>1327</v>
      </c>
      <c r="D38" s="53" t="s">
        <v>1328</v>
      </c>
      <c r="E38" s="54" t="s">
        <v>1329</v>
      </c>
      <c r="F38" s="54" t="s">
        <v>1120</v>
      </c>
      <c r="G38" s="54" t="s">
        <v>1330</v>
      </c>
      <c r="H38" s="54" t="s">
        <v>1331</v>
      </c>
      <c r="I38" s="53" t="s">
        <v>1332</v>
      </c>
      <c r="J38" s="54" t="s">
        <v>1333</v>
      </c>
      <c r="K38" s="53" t="s">
        <v>1334</v>
      </c>
      <c r="L38" s="60" t="s">
        <v>9</v>
      </c>
      <c r="M38" s="62" t="n">
        <v>2</v>
      </c>
      <c r="N38" s="63" t="s">
        <v>1029</v>
      </c>
      <c r="O38" s="51" t="s">
        <v>95</v>
      </c>
      <c r="P38" s="54"/>
      <c r="Q38" s="54" t="s">
        <v>131</v>
      </c>
      <c r="R38" s="58" t="s">
        <v>132</v>
      </c>
      <c r="S38" s="54" t="s">
        <v>98</v>
      </c>
    </row>
    <row r="39" customFormat="false" ht="46.25" hidden="false" customHeight="false" outlineLevel="0" collapsed="false">
      <c r="A39" s="51" t="s">
        <v>1335</v>
      </c>
      <c r="B39" s="51" t="n">
        <v>35</v>
      </c>
      <c r="C39" s="52" t="s">
        <v>88</v>
      </c>
      <c r="D39" s="53" t="s">
        <v>1336</v>
      </c>
      <c r="E39" s="54" t="s">
        <v>1337</v>
      </c>
      <c r="F39" s="54" t="s">
        <v>88</v>
      </c>
      <c r="G39" s="54" t="s">
        <v>1338</v>
      </c>
      <c r="H39" s="54" t="s">
        <v>1339</v>
      </c>
      <c r="I39" s="53" t="s">
        <v>1340</v>
      </c>
      <c r="J39" s="54" t="s">
        <v>1341</v>
      </c>
      <c r="K39" s="53" t="s">
        <v>1342</v>
      </c>
      <c r="L39" s="60" t="s">
        <v>9</v>
      </c>
      <c r="M39" s="62" t="n">
        <v>2</v>
      </c>
      <c r="N39" s="63" t="s">
        <v>1029</v>
      </c>
      <c r="O39" s="51" t="s">
        <v>95</v>
      </c>
      <c r="P39" s="54"/>
      <c r="Q39" s="54" t="s">
        <v>621</v>
      </c>
      <c r="R39" s="58" t="s">
        <v>622</v>
      </c>
      <c r="S39" s="54" t="s">
        <v>98</v>
      </c>
    </row>
    <row r="40" customFormat="false" ht="35.05" hidden="false" customHeight="false" outlineLevel="0" collapsed="false">
      <c r="A40" s="51" t="s">
        <v>1343</v>
      </c>
      <c r="B40" s="51" t="n">
        <v>36</v>
      </c>
      <c r="C40" s="52" t="s">
        <v>1344</v>
      </c>
      <c r="D40" s="53" t="s">
        <v>1345</v>
      </c>
      <c r="E40" s="54" t="s">
        <v>1346</v>
      </c>
      <c r="F40" s="54" t="s">
        <v>1120</v>
      </c>
      <c r="G40" s="54" t="s">
        <v>1347</v>
      </c>
      <c r="H40" s="54" t="s">
        <v>1348</v>
      </c>
      <c r="I40" s="53" t="s">
        <v>1349</v>
      </c>
      <c r="J40" s="54" t="s">
        <v>1350</v>
      </c>
      <c r="K40" s="53" t="s">
        <v>1351</v>
      </c>
      <c r="L40" s="60" t="s">
        <v>9</v>
      </c>
      <c r="M40" s="62" t="n">
        <v>2</v>
      </c>
      <c r="N40" s="63" t="s">
        <v>1029</v>
      </c>
      <c r="O40" s="51" t="s">
        <v>95</v>
      </c>
      <c r="P40" s="54"/>
      <c r="Q40" s="54" t="s">
        <v>131</v>
      </c>
      <c r="R40" s="58" t="s">
        <v>132</v>
      </c>
      <c r="S40" s="54" t="s">
        <v>98</v>
      </c>
    </row>
    <row r="41" customFormat="false" ht="35.05" hidden="false" customHeight="false" outlineLevel="0" collapsed="false">
      <c r="A41" s="51" t="s">
        <v>1352</v>
      </c>
      <c r="B41" s="51" t="n">
        <v>37</v>
      </c>
      <c r="C41" s="52" t="s">
        <v>1353</v>
      </c>
      <c r="D41" s="53" t="s">
        <v>1354</v>
      </c>
      <c r="E41" s="54" t="s">
        <v>1355</v>
      </c>
      <c r="F41" s="54" t="s">
        <v>88</v>
      </c>
      <c r="G41" s="54" t="s">
        <v>1356</v>
      </c>
      <c r="H41" s="54" t="s">
        <v>1357</v>
      </c>
      <c r="I41" s="53" t="s">
        <v>1358</v>
      </c>
      <c r="J41" s="54" t="s">
        <v>1359</v>
      </c>
      <c r="K41" s="53" t="s">
        <v>1360</v>
      </c>
      <c r="L41" s="60" t="s">
        <v>9</v>
      </c>
      <c r="M41" s="62" t="n">
        <v>2</v>
      </c>
      <c r="N41" s="63" t="s">
        <v>1029</v>
      </c>
      <c r="O41" s="51" t="s">
        <v>95</v>
      </c>
      <c r="P41" s="54"/>
      <c r="Q41" s="54" t="s">
        <v>131</v>
      </c>
      <c r="R41" s="58" t="s">
        <v>132</v>
      </c>
      <c r="S41" s="54" t="s">
        <v>98</v>
      </c>
    </row>
    <row r="42" customFormat="false" ht="35.05" hidden="false" customHeight="false" outlineLevel="0" collapsed="false">
      <c r="A42" s="51" t="s">
        <v>1361</v>
      </c>
      <c r="B42" s="51" t="n">
        <v>38</v>
      </c>
      <c r="C42" s="52" t="s">
        <v>1362</v>
      </c>
      <c r="D42" s="53" t="s">
        <v>1363</v>
      </c>
      <c r="E42" s="54" t="s">
        <v>1364</v>
      </c>
      <c r="F42" s="54" t="s">
        <v>1120</v>
      </c>
      <c r="G42" s="54" t="s">
        <v>1365</v>
      </c>
      <c r="H42" s="54" t="s">
        <v>1366</v>
      </c>
      <c r="I42" s="53" t="s">
        <v>1367</v>
      </c>
      <c r="J42" s="54" t="s">
        <v>1368</v>
      </c>
      <c r="K42" s="53" t="s">
        <v>1369</v>
      </c>
      <c r="L42" s="60" t="s">
        <v>9</v>
      </c>
      <c r="M42" s="62" t="n">
        <v>2</v>
      </c>
      <c r="N42" s="63" t="s">
        <v>1029</v>
      </c>
      <c r="O42" s="59" t="s">
        <v>161</v>
      </c>
      <c r="P42" s="54" t="s">
        <v>1370</v>
      </c>
      <c r="Q42" s="54" t="s">
        <v>516</v>
      </c>
      <c r="R42" s="58" t="s">
        <v>517</v>
      </c>
      <c r="S42" s="54" t="s">
        <v>98</v>
      </c>
    </row>
    <row r="43" customFormat="false" ht="35.05" hidden="false" customHeight="false" outlineLevel="0" collapsed="false">
      <c r="A43" s="51" t="s">
        <v>1371</v>
      </c>
      <c r="B43" s="51" t="n">
        <v>39</v>
      </c>
      <c r="C43" s="52" t="s">
        <v>1372</v>
      </c>
      <c r="D43" s="53" t="s">
        <v>1373</v>
      </c>
      <c r="E43" s="54" t="s">
        <v>1374</v>
      </c>
      <c r="F43" s="54" t="s">
        <v>88</v>
      </c>
      <c r="G43" s="54" t="s">
        <v>1375</v>
      </c>
      <c r="H43" s="54" t="s">
        <v>1376</v>
      </c>
      <c r="I43" s="53" t="s">
        <v>1377</v>
      </c>
      <c r="J43" s="54" t="s">
        <v>1378</v>
      </c>
      <c r="K43" s="53" t="s">
        <v>1379</v>
      </c>
      <c r="L43" s="60" t="s">
        <v>9</v>
      </c>
      <c r="M43" s="62" t="n">
        <v>2</v>
      </c>
      <c r="N43" s="63" t="s">
        <v>1029</v>
      </c>
      <c r="O43" s="51" t="s">
        <v>95</v>
      </c>
      <c r="P43" s="54"/>
      <c r="Q43" s="54" t="s">
        <v>131</v>
      </c>
      <c r="R43" s="58" t="s">
        <v>132</v>
      </c>
      <c r="S43" s="54" t="s">
        <v>98</v>
      </c>
    </row>
    <row r="44" customFormat="false" ht="35.05" hidden="false" customHeight="false" outlineLevel="0" collapsed="false">
      <c r="A44" s="51" t="s">
        <v>1380</v>
      </c>
      <c r="B44" s="51" t="n">
        <v>40</v>
      </c>
      <c r="C44" s="52" t="s">
        <v>1381</v>
      </c>
      <c r="D44" s="53" t="s">
        <v>1382</v>
      </c>
      <c r="E44" s="54" t="s">
        <v>1383</v>
      </c>
      <c r="F44" s="54" t="s">
        <v>823</v>
      </c>
      <c r="G44" s="54" t="s">
        <v>1384</v>
      </c>
      <c r="H44" s="54" t="s">
        <v>1385</v>
      </c>
      <c r="I44" s="53" t="s">
        <v>1386</v>
      </c>
      <c r="J44" s="54" t="s">
        <v>1387</v>
      </c>
      <c r="K44" s="53" t="s">
        <v>1388</v>
      </c>
      <c r="L44" s="60" t="s">
        <v>9</v>
      </c>
      <c r="M44" s="62" t="n">
        <v>2</v>
      </c>
      <c r="N44" s="63" t="s">
        <v>1029</v>
      </c>
      <c r="O44" s="59" t="s">
        <v>161</v>
      </c>
      <c r="P44" s="54" t="s">
        <v>1307</v>
      </c>
      <c r="Q44" s="54" t="s">
        <v>516</v>
      </c>
      <c r="R44" s="58" t="s">
        <v>517</v>
      </c>
      <c r="S44" s="54" t="s">
        <v>98</v>
      </c>
    </row>
    <row r="45" customFormat="false" ht="46.25" hidden="false" customHeight="false" outlineLevel="0" collapsed="false">
      <c r="A45" s="51" t="s">
        <v>1389</v>
      </c>
      <c r="B45" s="51" t="n">
        <v>41</v>
      </c>
      <c r="C45" s="52" t="s">
        <v>1390</v>
      </c>
      <c r="D45" s="53" t="s">
        <v>1391</v>
      </c>
      <c r="E45" s="54" t="s">
        <v>1392</v>
      </c>
      <c r="F45" s="54" t="s">
        <v>88</v>
      </c>
      <c r="G45" s="54" t="s">
        <v>1393</v>
      </c>
      <c r="H45" s="54" t="s">
        <v>1394</v>
      </c>
      <c r="I45" s="53" t="s">
        <v>1395</v>
      </c>
      <c r="J45" s="54" t="s">
        <v>1396</v>
      </c>
      <c r="K45" s="53" t="s">
        <v>1397</v>
      </c>
      <c r="L45" s="60" t="s">
        <v>9</v>
      </c>
      <c r="M45" s="62" t="n">
        <v>2</v>
      </c>
      <c r="N45" s="63" t="s">
        <v>1029</v>
      </c>
      <c r="O45" s="51" t="s">
        <v>95</v>
      </c>
      <c r="P45" s="54"/>
      <c r="Q45" s="54" t="s">
        <v>109</v>
      </c>
      <c r="R45" s="58" t="s">
        <v>110</v>
      </c>
      <c r="S45" s="54" t="s">
        <v>98</v>
      </c>
    </row>
    <row r="46" customFormat="false" ht="35.05" hidden="false" customHeight="false" outlineLevel="0" collapsed="false">
      <c r="A46" s="51" t="s">
        <v>1398</v>
      </c>
      <c r="B46" s="51" t="n">
        <v>42</v>
      </c>
      <c r="C46" s="52" t="s">
        <v>1399</v>
      </c>
      <c r="D46" s="53" t="s">
        <v>1400</v>
      </c>
      <c r="E46" s="54" t="s">
        <v>1401</v>
      </c>
      <c r="F46" s="54" t="s">
        <v>1120</v>
      </c>
      <c r="G46" s="54" t="s">
        <v>1402</v>
      </c>
      <c r="H46" s="54" t="s">
        <v>1403</v>
      </c>
      <c r="I46" s="53" t="s">
        <v>1404</v>
      </c>
      <c r="J46" s="54" t="s">
        <v>1405</v>
      </c>
      <c r="K46" s="53" t="s">
        <v>1406</v>
      </c>
      <c r="L46" s="60" t="s">
        <v>9</v>
      </c>
      <c r="M46" s="62" t="n">
        <v>2</v>
      </c>
      <c r="N46" s="63" t="s">
        <v>1029</v>
      </c>
      <c r="O46" s="51" t="s">
        <v>95</v>
      </c>
      <c r="P46" s="54"/>
      <c r="Q46" s="54" t="s">
        <v>131</v>
      </c>
      <c r="R46" s="58" t="s">
        <v>132</v>
      </c>
      <c r="S46" s="54" t="s">
        <v>98</v>
      </c>
    </row>
    <row r="47" customFormat="false" ht="35.05" hidden="false" customHeight="false" outlineLevel="0" collapsed="false">
      <c r="A47" s="51" t="s">
        <v>1407</v>
      </c>
      <c r="B47" s="51" t="n">
        <v>43</v>
      </c>
      <c r="C47" s="52" t="s">
        <v>1408</v>
      </c>
      <c r="D47" s="53" t="s">
        <v>1409</v>
      </c>
      <c r="E47" s="54" t="s">
        <v>1410</v>
      </c>
      <c r="F47" s="54" t="s">
        <v>88</v>
      </c>
      <c r="G47" s="54" t="s">
        <v>1411</v>
      </c>
      <c r="H47" s="54" t="s">
        <v>1412</v>
      </c>
      <c r="I47" s="53" t="s">
        <v>1413</v>
      </c>
      <c r="J47" s="54" t="s">
        <v>1414</v>
      </c>
      <c r="K47" s="53" t="s">
        <v>1415</v>
      </c>
      <c r="L47" s="60" t="s">
        <v>9</v>
      </c>
      <c r="M47" s="62" t="n">
        <v>2</v>
      </c>
      <c r="N47" s="63" t="s">
        <v>1029</v>
      </c>
      <c r="O47" s="59" t="s">
        <v>161</v>
      </c>
      <c r="P47" s="54" t="s">
        <v>1416</v>
      </c>
      <c r="Q47" s="54" t="s">
        <v>131</v>
      </c>
      <c r="R47" s="58" t="s">
        <v>132</v>
      </c>
      <c r="S47" s="54" t="s">
        <v>98</v>
      </c>
    </row>
    <row r="48" customFormat="false" ht="35.05" hidden="false" customHeight="false" outlineLevel="0" collapsed="false">
      <c r="A48" s="51" t="s">
        <v>1417</v>
      </c>
      <c r="B48" s="51" t="n">
        <v>44</v>
      </c>
      <c r="C48" s="52" t="s">
        <v>1418</v>
      </c>
      <c r="D48" s="53" t="s">
        <v>1419</v>
      </c>
      <c r="E48" s="54" t="s">
        <v>1420</v>
      </c>
      <c r="F48" s="54" t="s">
        <v>1157</v>
      </c>
      <c r="G48" s="54" t="s">
        <v>1421</v>
      </c>
      <c r="H48" s="54" t="s">
        <v>1422</v>
      </c>
      <c r="I48" s="53" t="s">
        <v>1423</v>
      </c>
      <c r="J48" s="54" t="s">
        <v>1424</v>
      </c>
      <c r="K48" s="53" t="s">
        <v>1425</v>
      </c>
      <c r="L48" s="60" t="s">
        <v>9</v>
      </c>
      <c r="M48" s="62" t="n">
        <v>2</v>
      </c>
      <c r="N48" s="63" t="s">
        <v>1029</v>
      </c>
      <c r="O48" s="51" t="s">
        <v>95</v>
      </c>
      <c r="P48" s="54"/>
      <c r="Q48" s="54" t="s">
        <v>96</v>
      </c>
      <c r="R48" s="58" t="s">
        <v>97</v>
      </c>
      <c r="S48" s="54" t="s">
        <v>98</v>
      </c>
    </row>
    <row r="49" customFormat="false" ht="46.25" hidden="false" customHeight="false" outlineLevel="0" collapsed="false">
      <c r="A49" s="51" t="s">
        <v>1426</v>
      </c>
      <c r="B49" s="51" t="n">
        <v>45</v>
      </c>
      <c r="C49" s="52" t="s">
        <v>1427</v>
      </c>
      <c r="D49" s="53" t="s">
        <v>1428</v>
      </c>
      <c r="E49" s="54" t="s">
        <v>1429</v>
      </c>
      <c r="F49" s="54" t="s">
        <v>1023</v>
      </c>
      <c r="G49" s="54" t="s">
        <v>1430</v>
      </c>
      <c r="H49" s="54" t="s">
        <v>1431</v>
      </c>
      <c r="I49" s="53" t="s">
        <v>1432</v>
      </c>
      <c r="J49" s="54" t="s">
        <v>1433</v>
      </c>
      <c r="K49" s="53" t="s">
        <v>1434</v>
      </c>
      <c r="L49" s="60" t="s">
        <v>9</v>
      </c>
      <c r="M49" s="62" t="n">
        <v>2</v>
      </c>
      <c r="N49" s="63" t="s">
        <v>1029</v>
      </c>
      <c r="O49" s="59" t="s">
        <v>161</v>
      </c>
      <c r="P49" s="54" t="s">
        <v>1030</v>
      </c>
      <c r="Q49" s="54" t="s">
        <v>621</v>
      </c>
      <c r="R49" s="58" t="s">
        <v>622</v>
      </c>
      <c r="S49" s="54" t="s">
        <v>98</v>
      </c>
    </row>
    <row r="50" customFormat="false" ht="46.25" hidden="false" customHeight="false" outlineLevel="0" collapsed="false">
      <c r="A50" s="51" t="s">
        <v>1435</v>
      </c>
      <c r="B50" s="51" t="n">
        <v>46</v>
      </c>
      <c r="C50" s="52" t="s">
        <v>1436</v>
      </c>
      <c r="D50" s="53" t="s">
        <v>1437</v>
      </c>
      <c r="E50" s="54" t="s">
        <v>1438</v>
      </c>
      <c r="F50" s="54" t="s">
        <v>88</v>
      </c>
      <c r="G50" s="54" t="s">
        <v>1439</v>
      </c>
      <c r="H50" s="54" t="s">
        <v>1440</v>
      </c>
      <c r="I50" s="53" t="s">
        <v>1441</v>
      </c>
      <c r="J50" s="54" t="s">
        <v>1442</v>
      </c>
      <c r="K50" s="53" t="s">
        <v>1443</v>
      </c>
      <c r="L50" s="60" t="s">
        <v>9</v>
      </c>
      <c r="M50" s="62" t="n">
        <v>2</v>
      </c>
      <c r="N50" s="63" t="s">
        <v>1029</v>
      </c>
      <c r="O50" s="51" t="s">
        <v>95</v>
      </c>
      <c r="P50" s="54"/>
      <c r="Q50" s="54" t="s">
        <v>109</v>
      </c>
      <c r="R50" s="58" t="s">
        <v>110</v>
      </c>
      <c r="S50" s="54" t="s">
        <v>98</v>
      </c>
    </row>
    <row r="51" customFormat="false" ht="35.05" hidden="false" customHeight="false" outlineLevel="0" collapsed="false">
      <c r="A51" s="51" t="s">
        <v>1444</v>
      </c>
      <c r="B51" s="51" t="n">
        <v>47</v>
      </c>
      <c r="C51" s="52" t="s">
        <v>1445</v>
      </c>
      <c r="D51" s="53" t="s">
        <v>1446</v>
      </c>
      <c r="E51" s="54" t="s">
        <v>1447</v>
      </c>
      <c r="F51" s="54" t="s">
        <v>823</v>
      </c>
      <c r="G51" s="54" t="s">
        <v>1448</v>
      </c>
      <c r="H51" s="54" t="s">
        <v>1449</v>
      </c>
      <c r="I51" s="53" t="s">
        <v>1450</v>
      </c>
      <c r="J51" s="54" t="s">
        <v>1451</v>
      </c>
      <c r="K51" s="53" t="s">
        <v>1452</v>
      </c>
      <c r="L51" s="60" t="s">
        <v>9</v>
      </c>
      <c r="M51" s="62" t="n">
        <v>2</v>
      </c>
      <c r="N51" s="63" t="s">
        <v>1029</v>
      </c>
      <c r="O51" s="51" t="s">
        <v>95</v>
      </c>
      <c r="P51" s="54"/>
      <c r="Q51" s="54" t="s">
        <v>96</v>
      </c>
      <c r="R51" s="58" t="s">
        <v>97</v>
      </c>
      <c r="S51" s="54" t="s">
        <v>98</v>
      </c>
    </row>
    <row r="52" customFormat="false" ht="35.05" hidden="false" customHeight="false" outlineLevel="0" collapsed="false">
      <c r="A52" s="51" t="s">
        <v>1453</v>
      </c>
      <c r="B52" s="51" t="n">
        <v>48</v>
      </c>
      <c r="C52" s="52" t="s">
        <v>1454</v>
      </c>
      <c r="D52" s="53" t="s">
        <v>1455</v>
      </c>
      <c r="E52" s="54" t="s">
        <v>1456</v>
      </c>
      <c r="F52" s="54" t="s">
        <v>823</v>
      </c>
      <c r="G52" s="54" t="s">
        <v>1457</v>
      </c>
      <c r="H52" s="54" t="s">
        <v>1458</v>
      </c>
      <c r="I52" s="53" t="s">
        <v>1459</v>
      </c>
      <c r="J52" s="54" t="s">
        <v>1460</v>
      </c>
      <c r="K52" s="53" t="s">
        <v>1461</v>
      </c>
      <c r="L52" s="60" t="s">
        <v>9</v>
      </c>
      <c r="M52" s="62" t="n">
        <v>2</v>
      </c>
      <c r="N52" s="63" t="s">
        <v>1029</v>
      </c>
      <c r="O52" s="51" t="s">
        <v>95</v>
      </c>
      <c r="P52" s="54"/>
      <c r="Q52" s="54" t="s">
        <v>131</v>
      </c>
      <c r="R52" s="58" t="s">
        <v>132</v>
      </c>
      <c r="S52" s="54" t="s">
        <v>98</v>
      </c>
    </row>
    <row r="53" customFormat="false" ht="35.05" hidden="false" customHeight="false" outlineLevel="0" collapsed="false">
      <c r="A53" s="51" t="s">
        <v>1462</v>
      </c>
      <c r="B53" s="51" t="n">
        <v>49</v>
      </c>
      <c r="C53" s="52" t="s">
        <v>1463</v>
      </c>
      <c r="D53" s="53" t="s">
        <v>1464</v>
      </c>
      <c r="E53" s="54" t="s">
        <v>1465</v>
      </c>
      <c r="F53" s="54" t="s">
        <v>115</v>
      </c>
      <c r="G53" s="54" t="s">
        <v>1466</v>
      </c>
      <c r="H53" s="54" t="s">
        <v>1467</v>
      </c>
      <c r="I53" s="53" t="s">
        <v>1468</v>
      </c>
      <c r="J53" s="54" t="s">
        <v>1469</v>
      </c>
      <c r="K53" s="53" t="s">
        <v>1470</v>
      </c>
      <c r="L53" s="60" t="s">
        <v>9</v>
      </c>
      <c r="M53" s="62" t="n">
        <v>2</v>
      </c>
      <c r="N53" s="63" t="s">
        <v>1029</v>
      </c>
      <c r="O53" s="51" t="s">
        <v>95</v>
      </c>
      <c r="P53" s="54"/>
      <c r="Q53" s="54" t="s">
        <v>131</v>
      </c>
      <c r="R53" s="58" t="s">
        <v>132</v>
      </c>
      <c r="S53" s="54" t="s">
        <v>98</v>
      </c>
    </row>
    <row r="54" customFormat="false" ht="35.05" hidden="false" customHeight="false" outlineLevel="0" collapsed="false">
      <c r="A54" s="51" t="s">
        <v>1471</v>
      </c>
      <c r="B54" s="51" t="n">
        <v>50</v>
      </c>
      <c r="C54" s="52" t="s">
        <v>1472</v>
      </c>
      <c r="D54" s="53" t="s">
        <v>1473</v>
      </c>
      <c r="E54" s="54" t="s">
        <v>1474</v>
      </c>
      <c r="F54" s="54" t="s">
        <v>823</v>
      </c>
      <c r="G54" s="54" t="s">
        <v>1475</v>
      </c>
      <c r="H54" s="54" t="s">
        <v>1476</v>
      </c>
      <c r="I54" s="53" t="s">
        <v>1477</v>
      </c>
      <c r="J54" s="54" t="s">
        <v>1478</v>
      </c>
      <c r="K54" s="53" t="s">
        <v>1479</v>
      </c>
      <c r="L54" s="60" t="s">
        <v>9</v>
      </c>
      <c r="M54" s="62" t="n">
        <v>2</v>
      </c>
      <c r="N54" s="63" t="s">
        <v>1029</v>
      </c>
      <c r="O54" s="51" t="s">
        <v>95</v>
      </c>
      <c r="P54" s="54"/>
      <c r="Q54" s="54" t="s">
        <v>131</v>
      </c>
      <c r="R54" s="58" t="s">
        <v>132</v>
      </c>
      <c r="S54" s="54" t="s">
        <v>98</v>
      </c>
    </row>
    <row r="55" customFormat="false" ht="35.05" hidden="false" customHeight="false" outlineLevel="0" collapsed="false">
      <c r="A55" s="51" t="s">
        <v>1480</v>
      </c>
      <c r="B55" s="51" t="n">
        <v>51</v>
      </c>
      <c r="C55" s="52" t="s">
        <v>1481</v>
      </c>
      <c r="D55" s="53" t="s">
        <v>1482</v>
      </c>
      <c r="E55" s="54" t="s">
        <v>1483</v>
      </c>
      <c r="F55" s="54" t="s">
        <v>289</v>
      </c>
      <c r="G55" s="54" t="s">
        <v>1484</v>
      </c>
      <c r="H55" s="54" t="s">
        <v>1485</v>
      </c>
      <c r="I55" s="53" t="s">
        <v>1486</v>
      </c>
      <c r="J55" s="54" t="s">
        <v>1487</v>
      </c>
      <c r="K55" s="53" t="s">
        <v>1488</v>
      </c>
      <c r="L55" s="60" t="s">
        <v>9</v>
      </c>
      <c r="M55" s="62" t="n">
        <v>2</v>
      </c>
      <c r="N55" s="63" t="s">
        <v>1029</v>
      </c>
      <c r="O55" s="51" t="s">
        <v>95</v>
      </c>
      <c r="P55" s="54"/>
      <c r="Q55" s="54" t="s">
        <v>131</v>
      </c>
      <c r="R55" s="58" t="s">
        <v>132</v>
      </c>
      <c r="S55" s="54" t="s">
        <v>98</v>
      </c>
    </row>
    <row r="56" customFormat="false" ht="35.05" hidden="false" customHeight="false" outlineLevel="0" collapsed="false">
      <c r="A56" s="51" t="s">
        <v>1489</v>
      </c>
      <c r="B56" s="51" t="n">
        <v>52</v>
      </c>
      <c r="C56" s="52" t="s">
        <v>1490</v>
      </c>
      <c r="D56" s="53" t="s">
        <v>1491</v>
      </c>
      <c r="E56" s="54" t="s">
        <v>1492</v>
      </c>
      <c r="F56" s="54" t="s">
        <v>125</v>
      </c>
      <c r="G56" s="54" t="s">
        <v>1493</v>
      </c>
      <c r="H56" s="54" t="s">
        <v>1494</v>
      </c>
      <c r="I56" s="53" t="s">
        <v>1495</v>
      </c>
      <c r="J56" s="54" t="s">
        <v>1496</v>
      </c>
      <c r="K56" s="53" t="s">
        <v>1497</v>
      </c>
      <c r="L56" s="60" t="s">
        <v>9</v>
      </c>
      <c r="M56" s="62" t="n">
        <v>2</v>
      </c>
      <c r="N56" s="63" t="s">
        <v>1029</v>
      </c>
      <c r="O56" s="51" t="s">
        <v>95</v>
      </c>
      <c r="P56" s="54"/>
      <c r="Q56" s="54" t="s">
        <v>516</v>
      </c>
      <c r="R56" s="58" t="s">
        <v>517</v>
      </c>
      <c r="S56" s="54" t="s">
        <v>98</v>
      </c>
    </row>
    <row r="57" customFormat="false" ht="35.05" hidden="false" customHeight="false" outlineLevel="0" collapsed="false">
      <c r="A57" s="51" t="s">
        <v>1498</v>
      </c>
      <c r="B57" s="51" t="n">
        <v>53</v>
      </c>
      <c r="C57" s="52" t="s">
        <v>1499</v>
      </c>
      <c r="D57" s="53" t="s">
        <v>1500</v>
      </c>
      <c r="E57" s="54" t="s">
        <v>1501</v>
      </c>
      <c r="F57" s="54" t="s">
        <v>88</v>
      </c>
      <c r="G57" s="54" t="s">
        <v>1502</v>
      </c>
      <c r="H57" s="54" t="s">
        <v>1503</v>
      </c>
      <c r="I57" s="53" t="s">
        <v>1504</v>
      </c>
      <c r="J57" s="54" t="s">
        <v>1505</v>
      </c>
      <c r="K57" s="53" t="s">
        <v>1506</v>
      </c>
      <c r="L57" s="60" t="s">
        <v>9</v>
      </c>
      <c r="M57" s="62" t="n">
        <v>2</v>
      </c>
      <c r="N57" s="63" t="s">
        <v>1029</v>
      </c>
      <c r="O57" s="59" t="s">
        <v>161</v>
      </c>
      <c r="P57" s="54" t="s">
        <v>1507</v>
      </c>
      <c r="Q57" s="54" t="s">
        <v>131</v>
      </c>
      <c r="R57" s="58" t="s">
        <v>132</v>
      </c>
      <c r="S57" s="54" t="s">
        <v>98</v>
      </c>
    </row>
    <row r="58" customFormat="false" ht="35.05" hidden="false" customHeight="false" outlineLevel="0" collapsed="false">
      <c r="A58" s="51" t="s">
        <v>1508</v>
      </c>
      <c r="B58" s="51" t="n">
        <v>54</v>
      </c>
      <c r="C58" s="52" t="s">
        <v>1509</v>
      </c>
      <c r="D58" s="53" t="s">
        <v>1510</v>
      </c>
      <c r="E58" s="54" t="s">
        <v>1511</v>
      </c>
      <c r="F58" s="54" t="s">
        <v>1120</v>
      </c>
      <c r="G58" s="54" t="s">
        <v>1512</v>
      </c>
      <c r="H58" s="54" t="s">
        <v>1513</v>
      </c>
      <c r="I58" s="53" t="s">
        <v>1514</v>
      </c>
      <c r="J58" s="54" t="s">
        <v>1515</v>
      </c>
      <c r="K58" s="53" t="s">
        <v>1516</v>
      </c>
      <c r="L58" s="60" t="s">
        <v>9</v>
      </c>
      <c r="M58" s="62" t="n">
        <v>2</v>
      </c>
      <c r="N58" s="63" t="s">
        <v>1029</v>
      </c>
      <c r="O58" s="51" t="s">
        <v>95</v>
      </c>
      <c r="P58" s="54"/>
      <c r="Q58" s="54" t="s">
        <v>516</v>
      </c>
      <c r="R58" s="58" t="s">
        <v>517</v>
      </c>
      <c r="S58" s="54" t="s">
        <v>98</v>
      </c>
    </row>
    <row r="59" customFormat="false" ht="46.25" hidden="false" customHeight="false" outlineLevel="0" collapsed="false">
      <c r="A59" s="51" t="s">
        <v>1517</v>
      </c>
      <c r="B59" s="51" t="n">
        <v>55</v>
      </c>
      <c r="C59" s="52" t="s">
        <v>1518</v>
      </c>
      <c r="D59" s="53" t="s">
        <v>1519</v>
      </c>
      <c r="E59" s="54" t="s">
        <v>1520</v>
      </c>
      <c r="F59" s="54" t="s">
        <v>88</v>
      </c>
      <c r="G59" s="54" t="s">
        <v>1521</v>
      </c>
      <c r="H59" s="54" t="s">
        <v>1522</v>
      </c>
      <c r="I59" s="53" t="s">
        <v>1523</v>
      </c>
      <c r="J59" s="54" t="s">
        <v>1524</v>
      </c>
      <c r="K59" s="53" t="s">
        <v>1525</v>
      </c>
      <c r="L59" s="60" t="s">
        <v>9</v>
      </c>
      <c r="M59" s="62" t="n">
        <v>2</v>
      </c>
      <c r="N59" s="63" t="s">
        <v>1029</v>
      </c>
      <c r="O59" s="51" t="s">
        <v>95</v>
      </c>
      <c r="P59" s="54"/>
      <c r="Q59" s="54" t="s">
        <v>109</v>
      </c>
      <c r="R59" s="58" t="s">
        <v>110</v>
      </c>
      <c r="S59" s="54" t="s">
        <v>98</v>
      </c>
    </row>
    <row r="60" customFormat="false" ht="35.05" hidden="false" customHeight="false" outlineLevel="0" collapsed="false">
      <c r="A60" s="51" t="s">
        <v>1526</v>
      </c>
      <c r="B60" s="51" t="n">
        <v>56</v>
      </c>
      <c r="C60" s="52" t="s">
        <v>1527</v>
      </c>
      <c r="D60" s="53" t="s">
        <v>1528</v>
      </c>
      <c r="E60" s="54" t="s">
        <v>1529</v>
      </c>
      <c r="F60" s="54" t="s">
        <v>88</v>
      </c>
      <c r="G60" s="54" t="s">
        <v>1530</v>
      </c>
      <c r="H60" s="54" t="s">
        <v>1531</v>
      </c>
      <c r="I60" s="53" t="s">
        <v>1532</v>
      </c>
      <c r="J60" s="54" t="s">
        <v>1533</v>
      </c>
      <c r="K60" s="53" t="s">
        <v>1534</v>
      </c>
      <c r="L60" s="61" t="s">
        <v>10</v>
      </c>
      <c r="M60" s="62" t="n">
        <v>2</v>
      </c>
      <c r="N60" s="63" t="s">
        <v>1029</v>
      </c>
      <c r="O60" s="51" t="s">
        <v>95</v>
      </c>
      <c r="P60" s="54"/>
      <c r="Q60" s="54" t="s">
        <v>131</v>
      </c>
      <c r="R60" s="58" t="s">
        <v>132</v>
      </c>
      <c r="S60" s="54" t="s">
        <v>98</v>
      </c>
    </row>
    <row r="61" customFormat="false" ht="35.05" hidden="false" customHeight="false" outlineLevel="0" collapsed="false">
      <c r="A61" s="51" t="s">
        <v>1535</v>
      </c>
      <c r="B61" s="51" t="n">
        <v>57</v>
      </c>
      <c r="C61" s="52" t="s">
        <v>1536</v>
      </c>
      <c r="D61" s="53" t="s">
        <v>1537</v>
      </c>
      <c r="E61" s="54" t="s">
        <v>1538</v>
      </c>
      <c r="F61" s="54" t="s">
        <v>115</v>
      </c>
      <c r="G61" s="54" t="s">
        <v>1539</v>
      </c>
      <c r="H61" s="54" t="s">
        <v>1540</v>
      </c>
      <c r="I61" s="53" t="s">
        <v>1541</v>
      </c>
      <c r="J61" s="54" t="s">
        <v>1542</v>
      </c>
      <c r="K61" s="53" t="s">
        <v>1543</v>
      </c>
      <c r="L61" s="61" t="s">
        <v>10</v>
      </c>
      <c r="M61" s="62" t="n">
        <v>2</v>
      </c>
      <c r="N61" s="63" t="s">
        <v>1029</v>
      </c>
      <c r="O61" s="51" t="s">
        <v>95</v>
      </c>
      <c r="P61" s="54"/>
      <c r="Q61" s="54" t="s">
        <v>131</v>
      </c>
      <c r="R61" s="58" t="s">
        <v>132</v>
      </c>
      <c r="S61" s="54" t="s">
        <v>98</v>
      </c>
    </row>
    <row r="62" customFormat="false" ht="35.05" hidden="false" customHeight="false" outlineLevel="0" collapsed="false">
      <c r="A62" s="51" t="s">
        <v>1544</v>
      </c>
      <c r="B62" s="51" t="n">
        <v>58</v>
      </c>
      <c r="C62" s="52" t="s">
        <v>1545</v>
      </c>
      <c r="D62" s="53" t="s">
        <v>1546</v>
      </c>
      <c r="E62" s="54" t="s">
        <v>1547</v>
      </c>
      <c r="F62" s="54" t="s">
        <v>823</v>
      </c>
      <c r="G62" s="54" t="s">
        <v>1548</v>
      </c>
      <c r="H62" s="54" t="s">
        <v>1549</v>
      </c>
      <c r="I62" s="53" t="s">
        <v>1550</v>
      </c>
      <c r="J62" s="54" t="s">
        <v>1551</v>
      </c>
      <c r="K62" s="53" t="s">
        <v>1552</v>
      </c>
      <c r="L62" s="61" t="s">
        <v>10</v>
      </c>
      <c r="M62" s="62" t="n">
        <v>2</v>
      </c>
      <c r="N62" s="63" t="s">
        <v>1029</v>
      </c>
      <c r="O62" s="51" t="s">
        <v>95</v>
      </c>
      <c r="P62" s="54"/>
      <c r="Q62" s="54" t="s">
        <v>516</v>
      </c>
      <c r="R62" s="58" t="s">
        <v>517</v>
      </c>
      <c r="S62" s="54" t="s">
        <v>98</v>
      </c>
    </row>
    <row r="63" customFormat="false" ht="35.05" hidden="false" customHeight="false" outlineLevel="0" collapsed="false">
      <c r="A63" s="51" t="s">
        <v>1553</v>
      </c>
      <c r="B63" s="51" t="n">
        <v>59</v>
      </c>
      <c r="C63" s="52" t="s">
        <v>1554</v>
      </c>
      <c r="D63" s="53" t="s">
        <v>1555</v>
      </c>
      <c r="E63" s="54" t="s">
        <v>1556</v>
      </c>
      <c r="F63" s="54" t="s">
        <v>1157</v>
      </c>
      <c r="G63" s="54" t="s">
        <v>1557</v>
      </c>
      <c r="H63" s="54" t="s">
        <v>1558</v>
      </c>
      <c r="I63" s="53" t="s">
        <v>1559</v>
      </c>
      <c r="J63" s="54" t="s">
        <v>1560</v>
      </c>
      <c r="K63" s="53" t="s">
        <v>1561</v>
      </c>
      <c r="L63" s="61" t="s">
        <v>10</v>
      </c>
      <c r="M63" s="62" t="n">
        <v>2</v>
      </c>
      <c r="N63" s="63" t="s">
        <v>1029</v>
      </c>
      <c r="O63" s="51" t="s">
        <v>95</v>
      </c>
      <c r="P63" s="54"/>
      <c r="Q63" s="54" t="s">
        <v>131</v>
      </c>
      <c r="R63" s="58" t="s">
        <v>132</v>
      </c>
      <c r="S63" s="54" t="s">
        <v>98</v>
      </c>
    </row>
    <row r="64" customFormat="false" ht="35.05" hidden="false" customHeight="false" outlineLevel="0" collapsed="false">
      <c r="A64" s="51" t="s">
        <v>1562</v>
      </c>
      <c r="B64" s="51" t="n">
        <v>60</v>
      </c>
      <c r="C64" s="52" t="s">
        <v>1563</v>
      </c>
      <c r="D64" s="53" t="s">
        <v>1564</v>
      </c>
      <c r="E64" s="54" t="s">
        <v>1565</v>
      </c>
      <c r="F64" s="54" t="s">
        <v>88</v>
      </c>
      <c r="G64" s="54" t="s">
        <v>1566</v>
      </c>
      <c r="H64" s="54" t="s">
        <v>1567</v>
      </c>
      <c r="I64" s="53" t="s">
        <v>1568</v>
      </c>
      <c r="J64" s="54" t="s">
        <v>1569</v>
      </c>
      <c r="K64" s="53" t="s">
        <v>1570</v>
      </c>
      <c r="L64" s="61" t="s">
        <v>10</v>
      </c>
      <c r="M64" s="62" t="n">
        <v>2</v>
      </c>
      <c r="N64" s="63" t="s">
        <v>1029</v>
      </c>
      <c r="O64" s="51" t="s">
        <v>95</v>
      </c>
      <c r="P64" s="54"/>
      <c r="Q64" s="54" t="s">
        <v>131</v>
      </c>
      <c r="R64" s="58" t="s">
        <v>132</v>
      </c>
      <c r="S64" s="54" t="s">
        <v>98</v>
      </c>
    </row>
    <row r="65" customFormat="false" ht="35.05" hidden="false" customHeight="false" outlineLevel="0" collapsed="false">
      <c r="A65" s="51" t="s">
        <v>1571</v>
      </c>
      <c r="B65" s="51" t="n">
        <v>61</v>
      </c>
      <c r="C65" s="52" t="s">
        <v>1572</v>
      </c>
      <c r="D65" s="53" t="s">
        <v>1573</v>
      </c>
      <c r="E65" s="54" t="s">
        <v>1574</v>
      </c>
      <c r="F65" s="54" t="s">
        <v>823</v>
      </c>
      <c r="G65" s="54" t="s">
        <v>1575</v>
      </c>
      <c r="H65" s="54" t="s">
        <v>1576</v>
      </c>
      <c r="I65" s="53" t="s">
        <v>1577</v>
      </c>
      <c r="J65" s="54" t="s">
        <v>1578</v>
      </c>
      <c r="K65" s="53" t="s">
        <v>1579</v>
      </c>
      <c r="L65" s="61" t="s">
        <v>10</v>
      </c>
      <c r="M65" s="62" t="n">
        <v>2</v>
      </c>
      <c r="N65" s="63" t="s">
        <v>1029</v>
      </c>
      <c r="O65" s="51" t="s">
        <v>95</v>
      </c>
      <c r="P65" s="54"/>
      <c r="Q65" s="54" t="s">
        <v>516</v>
      </c>
      <c r="R65" s="58" t="s">
        <v>517</v>
      </c>
      <c r="S65" s="54" t="s">
        <v>98</v>
      </c>
    </row>
    <row r="66" customFormat="false" ht="46.25" hidden="false" customHeight="false" outlineLevel="0" collapsed="false">
      <c r="A66" s="51" t="s">
        <v>1580</v>
      </c>
      <c r="B66" s="51" t="n">
        <v>62</v>
      </c>
      <c r="C66" s="52" t="s">
        <v>1581</v>
      </c>
      <c r="D66" s="53" t="s">
        <v>1582</v>
      </c>
      <c r="E66" s="54" t="s">
        <v>1583</v>
      </c>
      <c r="F66" s="54" t="s">
        <v>1157</v>
      </c>
      <c r="G66" s="54" t="s">
        <v>1584</v>
      </c>
      <c r="H66" s="54" t="s">
        <v>1585</v>
      </c>
      <c r="I66" s="53" t="s">
        <v>1586</v>
      </c>
      <c r="J66" s="54" t="s">
        <v>1587</v>
      </c>
      <c r="K66" s="53" t="s">
        <v>1588</v>
      </c>
      <c r="L66" s="61" t="s">
        <v>10</v>
      </c>
      <c r="M66" s="62" t="n">
        <v>2</v>
      </c>
      <c r="N66" s="63" t="s">
        <v>1029</v>
      </c>
      <c r="O66" s="51" t="s">
        <v>95</v>
      </c>
      <c r="P66" s="54"/>
      <c r="Q66" s="54" t="s">
        <v>131</v>
      </c>
      <c r="R66" s="58" t="s">
        <v>132</v>
      </c>
      <c r="S66" s="54" t="s">
        <v>1589</v>
      </c>
    </row>
    <row r="67" customFormat="false" ht="35.05" hidden="false" customHeight="false" outlineLevel="0" collapsed="false">
      <c r="A67" s="51" t="s">
        <v>1590</v>
      </c>
      <c r="B67" s="51" t="n">
        <v>63</v>
      </c>
      <c r="C67" s="52" t="s">
        <v>1591</v>
      </c>
      <c r="D67" s="53" t="s">
        <v>1592</v>
      </c>
      <c r="E67" s="54" t="s">
        <v>1593</v>
      </c>
      <c r="F67" s="54" t="s">
        <v>1120</v>
      </c>
      <c r="G67" s="54" t="s">
        <v>1594</v>
      </c>
      <c r="H67" s="54" t="s">
        <v>1595</v>
      </c>
      <c r="I67" s="53" t="s">
        <v>1596</v>
      </c>
      <c r="J67" s="54" t="s">
        <v>1597</v>
      </c>
      <c r="K67" s="53" t="s">
        <v>1598</v>
      </c>
      <c r="L67" s="61" t="s">
        <v>10</v>
      </c>
      <c r="M67" s="62" t="n">
        <v>2</v>
      </c>
      <c r="N67" s="63" t="s">
        <v>1029</v>
      </c>
      <c r="O67" s="51" t="s">
        <v>95</v>
      </c>
      <c r="P67" s="54"/>
      <c r="Q67" s="54" t="s">
        <v>131</v>
      </c>
      <c r="R67" s="58" t="s">
        <v>132</v>
      </c>
      <c r="S67" s="54" t="s">
        <v>98</v>
      </c>
    </row>
    <row r="68" customFormat="false" ht="35.05" hidden="false" customHeight="false" outlineLevel="0" collapsed="false">
      <c r="A68" s="51" t="s">
        <v>1599</v>
      </c>
      <c r="B68" s="51" t="n">
        <v>64</v>
      </c>
      <c r="C68" s="52" t="s">
        <v>1600</v>
      </c>
      <c r="D68" s="53" t="s">
        <v>1601</v>
      </c>
      <c r="E68" s="54" t="s">
        <v>1602</v>
      </c>
      <c r="F68" s="54" t="s">
        <v>823</v>
      </c>
      <c r="G68" s="54" t="s">
        <v>1603</v>
      </c>
      <c r="H68" s="54" t="s">
        <v>1604</v>
      </c>
      <c r="I68" s="53" t="s">
        <v>1605</v>
      </c>
      <c r="J68" s="54" t="s">
        <v>1606</v>
      </c>
      <c r="K68" s="53" t="s">
        <v>1607</v>
      </c>
      <c r="L68" s="61" t="s">
        <v>10</v>
      </c>
      <c r="M68" s="62" t="n">
        <v>2</v>
      </c>
      <c r="N68" s="63" t="s">
        <v>1029</v>
      </c>
      <c r="O68" s="51" t="s">
        <v>95</v>
      </c>
      <c r="P68" s="54"/>
      <c r="Q68" s="54" t="s">
        <v>131</v>
      </c>
      <c r="R68" s="58" t="s">
        <v>132</v>
      </c>
      <c r="S68" s="54" t="s">
        <v>98</v>
      </c>
    </row>
    <row r="69" customFormat="false" ht="35.05" hidden="false" customHeight="false" outlineLevel="0" collapsed="false">
      <c r="A69" s="51" t="s">
        <v>1608</v>
      </c>
      <c r="B69" s="51" t="n">
        <v>65</v>
      </c>
      <c r="C69" s="52" t="s">
        <v>1609</v>
      </c>
      <c r="D69" s="53" t="s">
        <v>1610</v>
      </c>
      <c r="E69" s="54" t="s">
        <v>1611</v>
      </c>
      <c r="F69" s="54" t="s">
        <v>1120</v>
      </c>
      <c r="G69" s="54" t="s">
        <v>1612</v>
      </c>
      <c r="H69" s="54" t="s">
        <v>1613</v>
      </c>
      <c r="I69" s="53" t="s">
        <v>1614</v>
      </c>
      <c r="J69" s="54" t="s">
        <v>1615</v>
      </c>
      <c r="K69" s="53" t="s">
        <v>1616</v>
      </c>
      <c r="L69" s="61" t="s">
        <v>10</v>
      </c>
      <c r="M69" s="62" t="n">
        <v>2</v>
      </c>
      <c r="N69" s="63" t="s">
        <v>1029</v>
      </c>
      <c r="O69" s="51" t="s">
        <v>95</v>
      </c>
      <c r="P69" s="54"/>
      <c r="Q69" s="54" t="s">
        <v>131</v>
      </c>
      <c r="R69" s="58" t="s">
        <v>132</v>
      </c>
      <c r="S69" s="54" t="s">
        <v>98</v>
      </c>
    </row>
    <row r="70" customFormat="false" ht="35.05" hidden="false" customHeight="false" outlineLevel="0" collapsed="false">
      <c r="A70" s="51" t="s">
        <v>1617</v>
      </c>
      <c r="B70" s="51" t="n">
        <v>66</v>
      </c>
      <c r="C70" s="52" t="s">
        <v>1618</v>
      </c>
      <c r="D70" s="53" t="s">
        <v>1619</v>
      </c>
      <c r="E70" s="54" t="s">
        <v>1620</v>
      </c>
      <c r="F70" s="54" t="s">
        <v>88</v>
      </c>
      <c r="G70" s="54" t="s">
        <v>1621</v>
      </c>
      <c r="H70" s="54" t="s">
        <v>1622</v>
      </c>
      <c r="I70" s="53" t="s">
        <v>1623</v>
      </c>
      <c r="J70" s="54" t="s">
        <v>1624</v>
      </c>
      <c r="K70" s="53" t="s">
        <v>1625</v>
      </c>
      <c r="L70" s="61" t="s">
        <v>10</v>
      </c>
      <c r="M70" s="62" t="n">
        <v>2</v>
      </c>
      <c r="N70" s="63" t="s">
        <v>1029</v>
      </c>
      <c r="O70" s="51" t="s">
        <v>95</v>
      </c>
      <c r="P70" s="54"/>
      <c r="Q70" s="54" t="s">
        <v>131</v>
      </c>
      <c r="R70" s="58" t="s">
        <v>132</v>
      </c>
      <c r="S70" s="54" t="s">
        <v>98</v>
      </c>
    </row>
    <row r="71" customFormat="false" ht="35.05" hidden="false" customHeight="false" outlineLevel="0" collapsed="false">
      <c r="A71" s="51" t="s">
        <v>1626</v>
      </c>
      <c r="B71" s="51" t="n">
        <v>67</v>
      </c>
      <c r="C71" s="52" t="s">
        <v>1627</v>
      </c>
      <c r="D71" s="53" t="s">
        <v>1628</v>
      </c>
      <c r="E71" s="54" t="s">
        <v>1629</v>
      </c>
      <c r="F71" s="54" t="s">
        <v>823</v>
      </c>
      <c r="G71" s="54" t="s">
        <v>1630</v>
      </c>
      <c r="H71" s="54" t="s">
        <v>1631</v>
      </c>
      <c r="I71" s="53" t="s">
        <v>1632</v>
      </c>
      <c r="J71" s="54" t="s">
        <v>1633</v>
      </c>
      <c r="K71" s="53" t="s">
        <v>1634</v>
      </c>
      <c r="L71" s="61" t="s">
        <v>10</v>
      </c>
      <c r="M71" s="62" t="n">
        <v>2</v>
      </c>
      <c r="N71" s="63" t="s">
        <v>1029</v>
      </c>
      <c r="O71" s="51" t="s">
        <v>95</v>
      </c>
      <c r="P71" s="54"/>
      <c r="Q71" s="54" t="s">
        <v>516</v>
      </c>
      <c r="R71" s="58" t="s">
        <v>517</v>
      </c>
      <c r="S71" s="54" t="s">
        <v>98</v>
      </c>
    </row>
    <row r="72" customFormat="false" ht="35.05" hidden="false" customHeight="false" outlineLevel="0" collapsed="false">
      <c r="A72" s="51" t="s">
        <v>1635</v>
      </c>
      <c r="B72" s="51" t="n">
        <v>68</v>
      </c>
      <c r="C72" s="52" t="s">
        <v>1636</v>
      </c>
      <c r="D72" s="53" t="s">
        <v>1637</v>
      </c>
      <c r="E72" s="54" t="s">
        <v>1638</v>
      </c>
      <c r="F72" s="54" t="s">
        <v>1157</v>
      </c>
      <c r="G72" s="54" t="s">
        <v>1639</v>
      </c>
      <c r="H72" s="54" t="s">
        <v>1640</v>
      </c>
      <c r="I72" s="53" t="s">
        <v>1641</v>
      </c>
      <c r="J72" s="54" t="s">
        <v>1642</v>
      </c>
      <c r="K72" s="53" t="s">
        <v>1643</v>
      </c>
      <c r="L72" s="61" t="s">
        <v>10</v>
      </c>
      <c r="M72" s="62" t="n">
        <v>2</v>
      </c>
      <c r="N72" s="63" t="s">
        <v>1029</v>
      </c>
      <c r="O72" s="51" t="s">
        <v>95</v>
      </c>
      <c r="P72" s="54"/>
      <c r="Q72" s="54" t="s">
        <v>131</v>
      </c>
      <c r="R72" s="58" t="s">
        <v>132</v>
      </c>
      <c r="S72" s="54" t="s">
        <v>98</v>
      </c>
    </row>
    <row r="73" customFormat="false" ht="35.05" hidden="false" customHeight="false" outlineLevel="0" collapsed="false">
      <c r="A73" s="51" t="s">
        <v>1644</v>
      </c>
      <c r="B73" s="51" t="n">
        <v>69</v>
      </c>
      <c r="C73" s="52" t="s">
        <v>1645</v>
      </c>
      <c r="D73" s="53" t="s">
        <v>1646</v>
      </c>
      <c r="E73" s="54" t="s">
        <v>1647</v>
      </c>
      <c r="F73" s="54" t="s">
        <v>823</v>
      </c>
      <c r="G73" s="54" t="s">
        <v>1648</v>
      </c>
      <c r="H73" s="54" t="s">
        <v>1649</v>
      </c>
      <c r="I73" s="53" t="s">
        <v>1650</v>
      </c>
      <c r="J73" s="54" t="s">
        <v>1651</v>
      </c>
      <c r="K73" s="53" t="s">
        <v>1652</v>
      </c>
      <c r="L73" s="61" t="s">
        <v>10</v>
      </c>
      <c r="M73" s="62" t="n">
        <v>2</v>
      </c>
      <c r="N73" s="63" t="s">
        <v>1029</v>
      </c>
      <c r="O73" s="51" t="s">
        <v>95</v>
      </c>
      <c r="P73" s="54"/>
      <c r="Q73" s="54" t="s">
        <v>131</v>
      </c>
      <c r="R73" s="58" t="s">
        <v>132</v>
      </c>
      <c r="S73" s="54" t="s">
        <v>98</v>
      </c>
    </row>
    <row r="74" customFormat="false" ht="35.05" hidden="false" customHeight="false" outlineLevel="0" collapsed="false">
      <c r="A74" s="51" t="s">
        <v>1653</v>
      </c>
      <c r="B74" s="51" t="n">
        <v>70</v>
      </c>
      <c r="C74" s="52" t="s">
        <v>1654</v>
      </c>
      <c r="D74" s="53" t="s">
        <v>1655</v>
      </c>
      <c r="E74" s="54" t="s">
        <v>1656</v>
      </c>
      <c r="F74" s="54" t="s">
        <v>88</v>
      </c>
      <c r="G74" s="54" t="s">
        <v>1657</v>
      </c>
      <c r="H74" s="54" t="s">
        <v>1658</v>
      </c>
      <c r="I74" s="53" t="s">
        <v>1659</v>
      </c>
      <c r="J74" s="54" t="s">
        <v>1660</v>
      </c>
      <c r="K74" s="53" t="s">
        <v>1661</v>
      </c>
      <c r="L74" s="61" t="s">
        <v>10</v>
      </c>
      <c r="M74" s="62" t="n">
        <v>2</v>
      </c>
      <c r="N74" s="63" t="s">
        <v>1029</v>
      </c>
      <c r="O74" s="51" t="s">
        <v>95</v>
      </c>
      <c r="P74" s="54"/>
      <c r="Q74" s="54" t="s">
        <v>131</v>
      </c>
      <c r="R74" s="58" t="s">
        <v>132</v>
      </c>
      <c r="S74" s="54" t="s">
        <v>98</v>
      </c>
    </row>
    <row r="75" customFormat="false" ht="35.05" hidden="false" customHeight="false" outlineLevel="0" collapsed="false">
      <c r="A75" s="51" t="s">
        <v>1662</v>
      </c>
      <c r="B75" s="51" t="n">
        <v>71</v>
      </c>
      <c r="C75" s="52" t="s">
        <v>1663</v>
      </c>
      <c r="D75" s="53" t="s">
        <v>1664</v>
      </c>
      <c r="E75" s="54" t="s">
        <v>1665</v>
      </c>
      <c r="F75" s="54" t="s">
        <v>1157</v>
      </c>
      <c r="G75" s="54" t="s">
        <v>1666</v>
      </c>
      <c r="H75" s="54" t="s">
        <v>1667</v>
      </c>
      <c r="I75" s="53" t="s">
        <v>1668</v>
      </c>
      <c r="J75" s="54" t="s">
        <v>1669</v>
      </c>
      <c r="K75" s="53" t="s">
        <v>1670</v>
      </c>
      <c r="L75" s="61" t="s">
        <v>10</v>
      </c>
      <c r="M75" s="62" t="n">
        <v>2</v>
      </c>
      <c r="N75" s="63" t="s">
        <v>1029</v>
      </c>
      <c r="O75" s="51" t="s">
        <v>95</v>
      </c>
      <c r="P75" s="54"/>
      <c r="Q75" s="54" t="s">
        <v>131</v>
      </c>
      <c r="R75" s="58" t="s">
        <v>132</v>
      </c>
      <c r="S75" s="54" t="s">
        <v>98</v>
      </c>
    </row>
    <row r="76" customFormat="false" ht="35.05" hidden="false" customHeight="false" outlineLevel="0" collapsed="false">
      <c r="A76" s="51" t="s">
        <v>1671</v>
      </c>
      <c r="B76" s="51" t="n">
        <v>72</v>
      </c>
      <c r="C76" s="52" t="s">
        <v>1672</v>
      </c>
      <c r="D76" s="53" t="s">
        <v>1673</v>
      </c>
      <c r="E76" s="54" t="s">
        <v>1674</v>
      </c>
      <c r="F76" s="54" t="s">
        <v>1157</v>
      </c>
      <c r="G76" s="54" t="s">
        <v>1675</v>
      </c>
      <c r="H76" s="54" t="s">
        <v>1676</v>
      </c>
      <c r="I76" s="53" t="s">
        <v>1677</v>
      </c>
      <c r="J76" s="54" t="s">
        <v>1678</v>
      </c>
      <c r="K76" s="53" t="s">
        <v>1679</v>
      </c>
      <c r="L76" s="61" t="s">
        <v>10</v>
      </c>
      <c r="M76" s="62" t="n">
        <v>2</v>
      </c>
      <c r="N76" s="63" t="s">
        <v>1029</v>
      </c>
      <c r="O76" s="51" t="s">
        <v>95</v>
      </c>
      <c r="P76" s="54"/>
      <c r="Q76" s="54" t="s">
        <v>131</v>
      </c>
      <c r="R76" s="58" t="s">
        <v>132</v>
      </c>
      <c r="S76" s="54" t="s">
        <v>98</v>
      </c>
    </row>
    <row r="77" customFormat="false" ht="35.05" hidden="false" customHeight="false" outlineLevel="0" collapsed="false">
      <c r="A77" s="51" t="s">
        <v>1680</v>
      </c>
      <c r="B77" s="51" t="n">
        <v>73</v>
      </c>
      <c r="C77" s="52" t="s">
        <v>1681</v>
      </c>
      <c r="D77" s="53" t="s">
        <v>1682</v>
      </c>
      <c r="E77" s="54" t="s">
        <v>1683</v>
      </c>
      <c r="F77" s="54" t="s">
        <v>823</v>
      </c>
      <c r="G77" s="54" t="s">
        <v>1684</v>
      </c>
      <c r="H77" s="54" t="s">
        <v>1685</v>
      </c>
      <c r="I77" s="53" t="s">
        <v>1686</v>
      </c>
      <c r="J77" s="54" t="s">
        <v>1687</v>
      </c>
      <c r="K77" s="53" t="s">
        <v>1688</v>
      </c>
      <c r="L77" s="61" t="s">
        <v>10</v>
      </c>
      <c r="M77" s="62" t="n">
        <v>2</v>
      </c>
      <c r="N77" s="63" t="s">
        <v>1029</v>
      </c>
      <c r="O77" s="51" t="s">
        <v>95</v>
      </c>
      <c r="P77" s="54"/>
      <c r="Q77" s="54" t="s">
        <v>516</v>
      </c>
      <c r="R77" s="58" t="s">
        <v>517</v>
      </c>
      <c r="S77" s="54" t="s">
        <v>98</v>
      </c>
    </row>
    <row r="78" customFormat="false" ht="35.05" hidden="false" customHeight="false" outlineLevel="0" collapsed="false">
      <c r="A78" s="51" t="s">
        <v>1689</v>
      </c>
      <c r="B78" s="51" t="n">
        <v>74</v>
      </c>
      <c r="C78" s="52" t="s">
        <v>1690</v>
      </c>
      <c r="D78" s="53" t="s">
        <v>1691</v>
      </c>
      <c r="E78" s="54" t="s">
        <v>1692</v>
      </c>
      <c r="F78" s="54" t="s">
        <v>88</v>
      </c>
      <c r="G78" s="54" t="s">
        <v>1693</v>
      </c>
      <c r="H78" s="54" t="s">
        <v>1694</v>
      </c>
      <c r="I78" s="53" t="s">
        <v>1695</v>
      </c>
      <c r="J78" s="54" t="s">
        <v>1696</v>
      </c>
      <c r="K78" s="53" t="s">
        <v>1697</v>
      </c>
      <c r="L78" s="61" t="s">
        <v>10</v>
      </c>
      <c r="M78" s="62" t="n">
        <v>2</v>
      </c>
      <c r="N78" s="63" t="s">
        <v>1029</v>
      </c>
      <c r="O78" s="59" t="s">
        <v>161</v>
      </c>
      <c r="P78" s="54" t="s">
        <v>1416</v>
      </c>
      <c r="Q78" s="54" t="s">
        <v>131</v>
      </c>
      <c r="R78" s="58" t="s">
        <v>132</v>
      </c>
      <c r="S78" s="54" t="s">
        <v>98</v>
      </c>
    </row>
    <row r="79" customFormat="false" ht="35.05" hidden="false" customHeight="false" outlineLevel="0" collapsed="false">
      <c r="A79" s="51" t="s">
        <v>1698</v>
      </c>
      <c r="B79" s="51" t="n">
        <v>75</v>
      </c>
      <c r="C79" s="52" t="s">
        <v>1699</v>
      </c>
      <c r="D79" s="53" t="s">
        <v>1700</v>
      </c>
      <c r="E79" s="54" t="s">
        <v>1701</v>
      </c>
      <c r="F79" s="54" t="s">
        <v>823</v>
      </c>
      <c r="G79" s="54" t="s">
        <v>1702</v>
      </c>
      <c r="H79" s="54" t="s">
        <v>1703</v>
      </c>
      <c r="I79" s="53" t="s">
        <v>1704</v>
      </c>
      <c r="J79" s="54" t="s">
        <v>1705</v>
      </c>
      <c r="K79" s="53" t="s">
        <v>1706</v>
      </c>
      <c r="L79" s="61" t="s">
        <v>10</v>
      </c>
      <c r="M79" s="62" t="n">
        <v>2</v>
      </c>
      <c r="N79" s="63" t="s">
        <v>1029</v>
      </c>
      <c r="O79" s="51" t="s">
        <v>95</v>
      </c>
      <c r="P79" s="54"/>
      <c r="Q79" s="54" t="s">
        <v>516</v>
      </c>
      <c r="R79" s="58" t="s">
        <v>517</v>
      </c>
      <c r="S79" s="54" t="s">
        <v>98</v>
      </c>
    </row>
    <row r="80" customFormat="false" ht="35.05" hidden="false" customHeight="false" outlineLevel="0" collapsed="false">
      <c r="A80" s="51" t="s">
        <v>1707</v>
      </c>
      <c r="B80" s="51" t="n">
        <v>76</v>
      </c>
      <c r="C80" s="52" t="s">
        <v>1708</v>
      </c>
      <c r="D80" s="53" t="s">
        <v>1709</v>
      </c>
      <c r="E80" s="54" t="s">
        <v>1710</v>
      </c>
      <c r="F80" s="54" t="s">
        <v>115</v>
      </c>
      <c r="G80" s="54" t="s">
        <v>1711</v>
      </c>
      <c r="H80" s="54" t="s">
        <v>1712</v>
      </c>
      <c r="I80" s="53" t="s">
        <v>1713</v>
      </c>
      <c r="J80" s="54" t="s">
        <v>1714</v>
      </c>
      <c r="K80" s="53" t="s">
        <v>1715</v>
      </c>
      <c r="L80" s="61" t="s">
        <v>10</v>
      </c>
      <c r="M80" s="62" t="n">
        <v>2</v>
      </c>
      <c r="N80" s="63" t="s">
        <v>1029</v>
      </c>
      <c r="O80" s="51" t="s">
        <v>95</v>
      </c>
      <c r="P80" s="54"/>
      <c r="Q80" s="54" t="s">
        <v>131</v>
      </c>
      <c r="R80" s="58" t="s">
        <v>132</v>
      </c>
      <c r="S80" s="54" t="s">
        <v>98</v>
      </c>
    </row>
    <row r="81" customFormat="false" ht="35.05" hidden="false" customHeight="false" outlineLevel="0" collapsed="false">
      <c r="A81" s="51" t="s">
        <v>1716</v>
      </c>
      <c r="B81" s="51" t="n">
        <v>77</v>
      </c>
      <c r="C81" s="52" t="s">
        <v>1717</v>
      </c>
      <c r="D81" s="53" t="s">
        <v>1718</v>
      </c>
      <c r="E81" s="54" t="s">
        <v>1719</v>
      </c>
      <c r="F81" s="54" t="s">
        <v>289</v>
      </c>
      <c r="G81" s="54" t="s">
        <v>1720</v>
      </c>
      <c r="H81" s="54" t="s">
        <v>1721</v>
      </c>
      <c r="I81" s="53" t="s">
        <v>1722</v>
      </c>
      <c r="J81" s="54" t="s">
        <v>1723</v>
      </c>
      <c r="K81" s="53" t="s">
        <v>1724</v>
      </c>
      <c r="L81" s="61" t="s">
        <v>10</v>
      </c>
      <c r="M81" s="62" t="n">
        <v>2</v>
      </c>
      <c r="N81" s="63" t="s">
        <v>1029</v>
      </c>
      <c r="O81" s="51" t="s">
        <v>95</v>
      </c>
      <c r="P81" s="54"/>
      <c r="Q81" s="54" t="s">
        <v>131</v>
      </c>
      <c r="R81" s="58" t="s">
        <v>132</v>
      </c>
      <c r="S81" s="54" t="s">
        <v>98</v>
      </c>
    </row>
    <row r="82" customFormat="false" ht="35.05" hidden="false" customHeight="false" outlineLevel="0" collapsed="false">
      <c r="A82" s="51" t="s">
        <v>1725</v>
      </c>
      <c r="B82" s="51" t="n">
        <v>78</v>
      </c>
      <c r="C82" s="52" t="s">
        <v>1726</v>
      </c>
      <c r="D82" s="53" t="s">
        <v>1727</v>
      </c>
      <c r="E82" s="54" t="s">
        <v>1728</v>
      </c>
      <c r="F82" s="54" t="s">
        <v>1157</v>
      </c>
      <c r="G82" s="54" t="s">
        <v>1729</v>
      </c>
      <c r="H82" s="54" t="s">
        <v>1730</v>
      </c>
      <c r="I82" s="53" t="s">
        <v>1731</v>
      </c>
      <c r="J82" s="54" t="s">
        <v>1732</v>
      </c>
      <c r="K82" s="53" t="s">
        <v>1733</v>
      </c>
      <c r="L82" s="61" t="s">
        <v>10</v>
      </c>
      <c r="M82" s="62" t="n">
        <v>2</v>
      </c>
      <c r="N82" s="63" t="s">
        <v>1029</v>
      </c>
      <c r="O82" s="51" t="s">
        <v>95</v>
      </c>
      <c r="P82" s="54"/>
      <c r="Q82" s="54" t="s">
        <v>131</v>
      </c>
      <c r="R82" s="58" t="s">
        <v>132</v>
      </c>
      <c r="S82" s="54" t="s">
        <v>98</v>
      </c>
    </row>
    <row r="83" customFormat="false" ht="35.05" hidden="false" customHeight="false" outlineLevel="0" collapsed="false">
      <c r="A83" s="51" t="s">
        <v>1734</v>
      </c>
      <c r="B83" s="51" t="n">
        <v>79</v>
      </c>
      <c r="C83" s="52" t="s">
        <v>1735</v>
      </c>
      <c r="D83" s="53" t="s">
        <v>1736</v>
      </c>
      <c r="E83" s="54" t="s">
        <v>1737</v>
      </c>
      <c r="F83" s="54" t="s">
        <v>1120</v>
      </c>
      <c r="G83" s="54" t="s">
        <v>1738</v>
      </c>
      <c r="H83" s="54" t="s">
        <v>1739</v>
      </c>
      <c r="I83" s="53" t="s">
        <v>1740</v>
      </c>
      <c r="J83" s="54" t="s">
        <v>1741</v>
      </c>
      <c r="K83" s="53" t="s">
        <v>1742</v>
      </c>
      <c r="L83" s="61" t="s">
        <v>10</v>
      </c>
      <c r="M83" s="62" t="n">
        <v>2</v>
      </c>
      <c r="N83" s="63" t="s">
        <v>1029</v>
      </c>
      <c r="O83" s="51" t="s">
        <v>95</v>
      </c>
      <c r="P83" s="54"/>
      <c r="Q83" s="54" t="s">
        <v>131</v>
      </c>
      <c r="R83" s="58" t="s">
        <v>132</v>
      </c>
      <c r="S83" s="54" t="s">
        <v>98</v>
      </c>
    </row>
    <row r="84" customFormat="false" ht="46.25" hidden="false" customHeight="false" outlineLevel="0" collapsed="false">
      <c r="A84" s="51" t="s">
        <v>1743</v>
      </c>
      <c r="B84" s="51" t="n">
        <v>80</v>
      </c>
      <c r="C84" s="52" t="s">
        <v>1744</v>
      </c>
      <c r="D84" s="53" t="s">
        <v>1745</v>
      </c>
      <c r="E84" s="54" t="s">
        <v>1746</v>
      </c>
      <c r="F84" s="54" t="s">
        <v>88</v>
      </c>
      <c r="G84" s="54" t="s">
        <v>1747</v>
      </c>
      <c r="H84" s="54" t="s">
        <v>1748</v>
      </c>
      <c r="I84" s="53" t="s">
        <v>1749</v>
      </c>
      <c r="J84" s="54" t="s">
        <v>1750</v>
      </c>
      <c r="K84" s="53" t="s">
        <v>1751</v>
      </c>
      <c r="L84" s="61" t="s">
        <v>10</v>
      </c>
      <c r="M84" s="62" t="n">
        <v>2</v>
      </c>
      <c r="N84" s="63" t="s">
        <v>1029</v>
      </c>
      <c r="O84" s="59" t="s">
        <v>161</v>
      </c>
      <c r="P84" s="54" t="s">
        <v>1416</v>
      </c>
      <c r="Q84" s="54" t="s">
        <v>621</v>
      </c>
      <c r="R84" s="58" t="s">
        <v>622</v>
      </c>
      <c r="S84" s="54" t="s">
        <v>98</v>
      </c>
    </row>
    <row r="85" customFormat="false" ht="35.05" hidden="false" customHeight="false" outlineLevel="0" collapsed="false">
      <c r="A85" s="51" t="s">
        <v>1752</v>
      </c>
      <c r="B85" s="51" t="n">
        <v>81</v>
      </c>
      <c r="C85" s="52" t="s">
        <v>1753</v>
      </c>
      <c r="D85" s="53" t="s">
        <v>1754</v>
      </c>
      <c r="E85" s="54" t="s">
        <v>1755</v>
      </c>
      <c r="F85" s="54" t="s">
        <v>1157</v>
      </c>
      <c r="G85" s="54" t="s">
        <v>1756</v>
      </c>
      <c r="H85" s="54" t="s">
        <v>1757</v>
      </c>
      <c r="I85" s="53" t="s">
        <v>1758</v>
      </c>
      <c r="J85" s="54" t="s">
        <v>1759</v>
      </c>
      <c r="K85" s="53" t="s">
        <v>1760</v>
      </c>
      <c r="L85" s="61" t="s">
        <v>10</v>
      </c>
      <c r="M85" s="62" t="n">
        <v>2</v>
      </c>
      <c r="N85" s="63" t="s">
        <v>1029</v>
      </c>
      <c r="O85" s="51" t="s">
        <v>95</v>
      </c>
      <c r="P85" s="54"/>
      <c r="Q85" s="54" t="s">
        <v>131</v>
      </c>
      <c r="R85" s="58" t="s">
        <v>132</v>
      </c>
      <c r="S85" s="54" t="s">
        <v>98</v>
      </c>
    </row>
    <row r="86" customFormat="false" ht="35.05" hidden="false" customHeight="false" outlineLevel="0" collapsed="false">
      <c r="A86" s="51" t="s">
        <v>1761</v>
      </c>
      <c r="B86" s="51" t="n">
        <v>82</v>
      </c>
      <c r="C86" s="52" t="s">
        <v>1762</v>
      </c>
      <c r="D86" s="53" t="s">
        <v>1763</v>
      </c>
      <c r="E86" s="54" t="s">
        <v>1764</v>
      </c>
      <c r="F86" s="54" t="s">
        <v>1157</v>
      </c>
      <c r="G86" s="54" t="s">
        <v>1765</v>
      </c>
      <c r="H86" s="54" t="s">
        <v>1766</v>
      </c>
      <c r="I86" s="53" t="s">
        <v>1767</v>
      </c>
      <c r="J86" s="54" t="s">
        <v>1768</v>
      </c>
      <c r="K86" s="53" t="s">
        <v>1769</v>
      </c>
      <c r="L86" s="61" t="s">
        <v>10</v>
      </c>
      <c r="M86" s="62" t="n">
        <v>2</v>
      </c>
      <c r="N86" s="63" t="s">
        <v>1029</v>
      </c>
      <c r="O86" s="59" t="s">
        <v>161</v>
      </c>
      <c r="P86" s="54" t="s">
        <v>1770</v>
      </c>
      <c r="Q86" s="54" t="s">
        <v>131</v>
      </c>
      <c r="R86" s="58" t="s">
        <v>132</v>
      </c>
      <c r="S86" s="54" t="s">
        <v>98</v>
      </c>
    </row>
    <row r="87" customFormat="false" ht="35.05" hidden="false" customHeight="false" outlineLevel="0" collapsed="false">
      <c r="A87" s="51" t="s">
        <v>1771</v>
      </c>
      <c r="B87" s="51" t="n">
        <v>83</v>
      </c>
      <c r="C87" s="52" t="s">
        <v>1772</v>
      </c>
      <c r="D87" s="53" t="s">
        <v>1773</v>
      </c>
      <c r="E87" s="54" t="s">
        <v>1774</v>
      </c>
      <c r="F87" s="54" t="s">
        <v>1120</v>
      </c>
      <c r="G87" s="54" t="s">
        <v>1775</v>
      </c>
      <c r="H87" s="54" t="s">
        <v>1776</v>
      </c>
      <c r="I87" s="53" t="s">
        <v>1777</v>
      </c>
      <c r="J87" s="54" t="s">
        <v>1778</v>
      </c>
      <c r="K87" s="53" t="s">
        <v>1779</v>
      </c>
      <c r="L87" s="61" t="s">
        <v>10</v>
      </c>
      <c r="M87" s="62" t="n">
        <v>2</v>
      </c>
      <c r="N87" s="63" t="s">
        <v>1029</v>
      </c>
      <c r="O87" s="59" t="s">
        <v>161</v>
      </c>
      <c r="P87" s="54" t="s">
        <v>1370</v>
      </c>
      <c r="Q87" s="54" t="s">
        <v>516</v>
      </c>
      <c r="R87" s="58" t="s">
        <v>517</v>
      </c>
      <c r="S87" s="54" t="s">
        <v>98</v>
      </c>
    </row>
    <row r="88" customFormat="false" ht="46.25" hidden="false" customHeight="false" outlineLevel="0" collapsed="false">
      <c r="A88" s="51" t="s">
        <v>1780</v>
      </c>
      <c r="B88" s="51" t="n">
        <v>84</v>
      </c>
      <c r="C88" s="52" t="s">
        <v>1781</v>
      </c>
      <c r="D88" s="53" t="s">
        <v>1782</v>
      </c>
      <c r="E88" s="54" t="s">
        <v>1783</v>
      </c>
      <c r="F88" s="54" t="s">
        <v>88</v>
      </c>
      <c r="G88" s="54" t="s">
        <v>1784</v>
      </c>
      <c r="H88" s="54" t="s">
        <v>1785</v>
      </c>
      <c r="I88" s="53" t="s">
        <v>1786</v>
      </c>
      <c r="J88" s="54" t="s">
        <v>1787</v>
      </c>
      <c r="K88" s="53" t="s">
        <v>1788</v>
      </c>
      <c r="L88" s="61" t="s">
        <v>10</v>
      </c>
      <c r="M88" s="62" t="n">
        <v>2</v>
      </c>
      <c r="N88" s="63" t="s">
        <v>1029</v>
      </c>
      <c r="O88" s="59" t="s">
        <v>161</v>
      </c>
      <c r="P88" s="54" t="s">
        <v>1789</v>
      </c>
      <c r="Q88" s="54" t="s">
        <v>621</v>
      </c>
      <c r="R88" s="58" t="s">
        <v>622</v>
      </c>
      <c r="S88" s="54" t="s">
        <v>98</v>
      </c>
    </row>
    <row r="89" customFormat="false" ht="35.05" hidden="false" customHeight="false" outlineLevel="0" collapsed="false">
      <c r="A89" s="51" t="s">
        <v>1790</v>
      </c>
      <c r="B89" s="51" t="n">
        <v>85</v>
      </c>
      <c r="C89" s="52" t="s">
        <v>1791</v>
      </c>
      <c r="D89" s="53" t="s">
        <v>1792</v>
      </c>
      <c r="E89" s="54" t="s">
        <v>1793</v>
      </c>
      <c r="F89" s="54" t="s">
        <v>1120</v>
      </c>
      <c r="G89" s="54" t="s">
        <v>1794</v>
      </c>
      <c r="H89" s="54" t="s">
        <v>1795</v>
      </c>
      <c r="I89" s="53" t="s">
        <v>1796</v>
      </c>
      <c r="J89" s="54" t="s">
        <v>1797</v>
      </c>
      <c r="K89" s="53" t="s">
        <v>1798</v>
      </c>
      <c r="L89" s="61" t="s">
        <v>10</v>
      </c>
      <c r="M89" s="62" t="n">
        <v>2</v>
      </c>
      <c r="N89" s="63" t="s">
        <v>1029</v>
      </c>
      <c r="O89" s="51" t="s">
        <v>95</v>
      </c>
      <c r="P89" s="54"/>
      <c r="Q89" s="54" t="s">
        <v>131</v>
      </c>
      <c r="R89" s="58" t="s">
        <v>132</v>
      </c>
      <c r="S89" s="54" t="s">
        <v>98</v>
      </c>
    </row>
    <row r="90" customFormat="false" ht="35.05" hidden="false" customHeight="false" outlineLevel="0" collapsed="false">
      <c r="A90" s="51" t="s">
        <v>1799</v>
      </c>
      <c r="B90" s="51" t="n">
        <v>86</v>
      </c>
      <c r="C90" s="52" t="s">
        <v>1800</v>
      </c>
      <c r="D90" s="53" t="s">
        <v>1801</v>
      </c>
      <c r="E90" s="54" t="s">
        <v>1802</v>
      </c>
      <c r="F90" s="54" t="s">
        <v>88</v>
      </c>
      <c r="G90" s="54" t="s">
        <v>1803</v>
      </c>
      <c r="H90" s="54" t="s">
        <v>1804</v>
      </c>
      <c r="I90" s="53" t="s">
        <v>1805</v>
      </c>
      <c r="J90" s="54" t="s">
        <v>1806</v>
      </c>
      <c r="K90" s="53" t="s">
        <v>1807</v>
      </c>
      <c r="L90" s="61" t="s">
        <v>10</v>
      </c>
      <c r="M90" s="62" t="n">
        <v>2</v>
      </c>
      <c r="N90" s="63" t="s">
        <v>1029</v>
      </c>
      <c r="O90" s="51" t="s">
        <v>95</v>
      </c>
      <c r="P90" s="54"/>
      <c r="Q90" s="54" t="s">
        <v>131</v>
      </c>
      <c r="R90" s="58" t="s">
        <v>132</v>
      </c>
      <c r="S90" s="54" t="s">
        <v>98</v>
      </c>
    </row>
    <row r="91" customFormat="false" ht="35.05" hidden="false" customHeight="false" outlineLevel="0" collapsed="false">
      <c r="A91" s="51" t="s">
        <v>1808</v>
      </c>
      <c r="B91" s="51" t="n">
        <v>87</v>
      </c>
      <c r="C91" s="52" t="s">
        <v>1809</v>
      </c>
      <c r="D91" s="53" t="s">
        <v>1810</v>
      </c>
      <c r="E91" s="54" t="s">
        <v>1811</v>
      </c>
      <c r="F91" s="54" t="s">
        <v>1157</v>
      </c>
      <c r="G91" s="54" t="s">
        <v>1812</v>
      </c>
      <c r="H91" s="54" t="s">
        <v>1813</v>
      </c>
      <c r="I91" s="53" t="s">
        <v>1814</v>
      </c>
      <c r="J91" s="54" t="s">
        <v>1815</v>
      </c>
      <c r="K91" s="53" t="s">
        <v>1816</v>
      </c>
      <c r="L91" s="61" t="s">
        <v>10</v>
      </c>
      <c r="M91" s="62" t="n">
        <v>2</v>
      </c>
      <c r="N91" s="63" t="s">
        <v>1029</v>
      </c>
      <c r="O91" s="51" t="s">
        <v>95</v>
      </c>
      <c r="P91" s="54"/>
      <c r="Q91" s="54" t="s">
        <v>131</v>
      </c>
      <c r="R91" s="58" t="s">
        <v>132</v>
      </c>
      <c r="S91" s="54" t="s">
        <v>98</v>
      </c>
    </row>
    <row r="92" customFormat="false" ht="35.05" hidden="false" customHeight="false" outlineLevel="0" collapsed="false">
      <c r="A92" s="51" t="s">
        <v>1817</v>
      </c>
      <c r="B92" s="51" t="n">
        <v>88</v>
      </c>
      <c r="C92" s="52" t="s">
        <v>1818</v>
      </c>
      <c r="D92" s="53" t="s">
        <v>1819</v>
      </c>
      <c r="E92" s="54" t="s">
        <v>1820</v>
      </c>
      <c r="F92" s="54" t="s">
        <v>1157</v>
      </c>
      <c r="G92" s="54" t="s">
        <v>1821</v>
      </c>
      <c r="H92" s="54" t="s">
        <v>1822</v>
      </c>
      <c r="I92" s="53" t="s">
        <v>1823</v>
      </c>
      <c r="J92" s="54" t="s">
        <v>1824</v>
      </c>
      <c r="K92" s="53" t="s">
        <v>1825</v>
      </c>
      <c r="L92" s="61" t="s">
        <v>10</v>
      </c>
      <c r="M92" s="62" t="n">
        <v>2</v>
      </c>
      <c r="N92" s="63" t="s">
        <v>1029</v>
      </c>
      <c r="O92" s="51" t="s">
        <v>95</v>
      </c>
      <c r="P92" s="54"/>
      <c r="Q92" s="54" t="s">
        <v>131</v>
      </c>
      <c r="R92" s="58" t="s">
        <v>132</v>
      </c>
      <c r="S92" s="54" t="s">
        <v>98</v>
      </c>
    </row>
    <row r="93" customFormat="false" ht="35.05" hidden="false" customHeight="false" outlineLevel="0" collapsed="false">
      <c r="A93" s="51" t="s">
        <v>1826</v>
      </c>
      <c r="B93" s="51" t="n">
        <v>89</v>
      </c>
      <c r="C93" s="52" t="s">
        <v>1827</v>
      </c>
      <c r="D93" s="53" t="s">
        <v>1828</v>
      </c>
      <c r="E93" s="54" t="s">
        <v>1829</v>
      </c>
      <c r="F93" s="54" t="s">
        <v>289</v>
      </c>
      <c r="G93" s="54" t="s">
        <v>1830</v>
      </c>
      <c r="H93" s="54" t="s">
        <v>1831</v>
      </c>
      <c r="I93" s="53" t="s">
        <v>1832</v>
      </c>
      <c r="J93" s="54" t="s">
        <v>1833</v>
      </c>
      <c r="K93" s="53" t="s">
        <v>1834</v>
      </c>
      <c r="L93" s="61" t="s">
        <v>10</v>
      </c>
      <c r="M93" s="62" t="n">
        <v>2</v>
      </c>
      <c r="N93" s="63" t="s">
        <v>1029</v>
      </c>
      <c r="O93" s="51" t="s">
        <v>95</v>
      </c>
      <c r="P93" s="54"/>
      <c r="Q93" s="54" t="s">
        <v>131</v>
      </c>
      <c r="R93" s="58" t="s">
        <v>132</v>
      </c>
      <c r="S93" s="54" t="s">
        <v>98</v>
      </c>
    </row>
    <row r="94" customFormat="false" ht="35.05" hidden="false" customHeight="false" outlineLevel="0" collapsed="false">
      <c r="A94" s="51" t="s">
        <v>1835</v>
      </c>
      <c r="B94" s="51" t="n">
        <v>90</v>
      </c>
      <c r="C94" s="52" t="s">
        <v>1836</v>
      </c>
      <c r="D94" s="53" t="s">
        <v>1837</v>
      </c>
      <c r="E94" s="54" t="s">
        <v>1838</v>
      </c>
      <c r="F94" s="54" t="s">
        <v>289</v>
      </c>
      <c r="G94" s="54" t="s">
        <v>1839</v>
      </c>
      <c r="H94" s="54" t="s">
        <v>1840</v>
      </c>
      <c r="I94" s="53" t="s">
        <v>1841</v>
      </c>
      <c r="J94" s="54" t="s">
        <v>1842</v>
      </c>
      <c r="K94" s="53" t="s">
        <v>1843</v>
      </c>
      <c r="L94" s="61" t="s">
        <v>10</v>
      </c>
      <c r="M94" s="62" t="n">
        <v>2</v>
      </c>
      <c r="N94" s="63" t="s">
        <v>1029</v>
      </c>
      <c r="O94" s="59" t="s">
        <v>161</v>
      </c>
      <c r="P94" s="54" t="s">
        <v>1844</v>
      </c>
      <c r="Q94" s="54" t="s">
        <v>516</v>
      </c>
      <c r="R94" s="58" t="s">
        <v>517</v>
      </c>
      <c r="S94" s="54" t="s">
        <v>98</v>
      </c>
    </row>
    <row r="95" customFormat="false" ht="35.05" hidden="false" customHeight="false" outlineLevel="0" collapsed="false">
      <c r="A95" s="51" t="s">
        <v>1845</v>
      </c>
      <c r="B95" s="51" t="n">
        <v>91</v>
      </c>
      <c r="C95" s="52" t="s">
        <v>1846</v>
      </c>
      <c r="D95" s="53" t="s">
        <v>1847</v>
      </c>
      <c r="E95" s="54" t="s">
        <v>1848</v>
      </c>
      <c r="F95" s="54" t="s">
        <v>1157</v>
      </c>
      <c r="G95" s="54" t="s">
        <v>1849</v>
      </c>
      <c r="H95" s="54" t="s">
        <v>1850</v>
      </c>
      <c r="I95" s="53" t="s">
        <v>1851</v>
      </c>
      <c r="J95" s="54" t="s">
        <v>1852</v>
      </c>
      <c r="K95" s="53" t="s">
        <v>1853</v>
      </c>
      <c r="L95" s="61" t="s">
        <v>10</v>
      </c>
      <c r="M95" s="62" t="n">
        <v>2</v>
      </c>
      <c r="N95" s="63" t="s">
        <v>1029</v>
      </c>
      <c r="O95" s="51" t="s">
        <v>95</v>
      </c>
      <c r="P95" s="54"/>
      <c r="Q95" s="54" t="s">
        <v>131</v>
      </c>
      <c r="R95" s="58" t="s">
        <v>132</v>
      </c>
      <c r="S95" s="54" t="s">
        <v>98</v>
      </c>
    </row>
    <row r="96" customFormat="false" ht="35.05" hidden="false" customHeight="false" outlineLevel="0" collapsed="false">
      <c r="A96" s="51" t="s">
        <v>1854</v>
      </c>
      <c r="B96" s="51" t="n">
        <v>92</v>
      </c>
      <c r="C96" s="52" t="s">
        <v>1855</v>
      </c>
      <c r="D96" s="53" t="s">
        <v>1856</v>
      </c>
      <c r="E96" s="54" t="s">
        <v>1857</v>
      </c>
      <c r="F96" s="54" t="s">
        <v>1157</v>
      </c>
      <c r="G96" s="54" t="s">
        <v>1858</v>
      </c>
      <c r="H96" s="54" t="s">
        <v>1859</v>
      </c>
      <c r="I96" s="53" t="s">
        <v>1860</v>
      </c>
      <c r="J96" s="54" t="s">
        <v>1861</v>
      </c>
      <c r="K96" s="53" t="s">
        <v>1862</v>
      </c>
      <c r="L96" s="61" t="s">
        <v>10</v>
      </c>
      <c r="M96" s="62" t="n">
        <v>2</v>
      </c>
      <c r="N96" s="63" t="s">
        <v>1029</v>
      </c>
      <c r="O96" s="51" t="s">
        <v>95</v>
      </c>
      <c r="P96" s="54"/>
      <c r="Q96" s="54" t="s">
        <v>131</v>
      </c>
      <c r="R96" s="58" t="s">
        <v>132</v>
      </c>
      <c r="S96" s="54" t="s">
        <v>98</v>
      </c>
    </row>
    <row r="97" customFormat="false" ht="35.05" hidden="false" customHeight="false" outlineLevel="0" collapsed="false">
      <c r="A97" s="51" t="s">
        <v>1863</v>
      </c>
      <c r="B97" s="51" t="n">
        <v>93</v>
      </c>
      <c r="C97" s="52" t="s">
        <v>1864</v>
      </c>
      <c r="D97" s="53" t="s">
        <v>1865</v>
      </c>
      <c r="E97" s="54" t="s">
        <v>1866</v>
      </c>
      <c r="F97" s="54" t="s">
        <v>1157</v>
      </c>
      <c r="G97" s="54" t="s">
        <v>1867</v>
      </c>
      <c r="H97" s="54" t="s">
        <v>1868</v>
      </c>
      <c r="I97" s="53" t="s">
        <v>1869</v>
      </c>
      <c r="J97" s="54" t="s">
        <v>1870</v>
      </c>
      <c r="K97" s="53" t="s">
        <v>1871</v>
      </c>
      <c r="L97" s="61" t="s">
        <v>10</v>
      </c>
      <c r="M97" s="62" t="n">
        <v>2</v>
      </c>
      <c r="N97" s="63" t="s">
        <v>1029</v>
      </c>
      <c r="O97" s="51" t="s">
        <v>95</v>
      </c>
      <c r="P97" s="54"/>
      <c r="Q97" s="54" t="s">
        <v>131</v>
      </c>
      <c r="R97" s="58" t="s">
        <v>132</v>
      </c>
      <c r="S97" s="54" t="s">
        <v>98</v>
      </c>
    </row>
    <row r="98" customFormat="false" ht="35.05" hidden="false" customHeight="false" outlineLevel="0" collapsed="false">
      <c r="A98" s="51" t="s">
        <v>1872</v>
      </c>
      <c r="B98" s="51" t="n">
        <v>94</v>
      </c>
      <c r="C98" s="52" t="s">
        <v>1873</v>
      </c>
      <c r="D98" s="53" t="s">
        <v>1874</v>
      </c>
      <c r="E98" s="54" t="s">
        <v>1875</v>
      </c>
      <c r="F98" s="54" t="s">
        <v>1023</v>
      </c>
      <c r="G98" s="54" t="s">
        <v>1876</v>
      </c>
      <c r="H98" s="54" t="s">
        <v>1877</v>
      </c>
      <c r="I98" s="53" t="s">
        <v>1878</v>
      </c>
      <c r="J98" s="54" t="s">
        <v>1879</v>
      </c>
      <c r="K98" s="53" t="s">
        <v>1880</v>
      </c>
      <c r="L98" s="61" t="s">
        <v>10</v>
      </c>
      <c r="M98" s="62" t="n">
        <v>2</v>
      </c>
      <c r="N98" s="63" t="s">
        <v>1029</v>
      </c>
      <c r="O98" s="51" t="s">
        <v>95</v>
      </c>
      <c r="P98" s="54"/>
      <c r="Q98" s="54" t="s">
        <v>131</v>
      </c>
      <c r="R98" s="58" t="s">
        <v>132</v>
      </c>
      <c r="S98" s="54" t="s">
        <v>98</v>
      </c>
    </row>
    <row r="99" customFormat="false" ht="35.05" hidden="false" customHeight="false" outlineLevel="0" collapsed="false">
      <c r="A99" s="51" t="s">
        <v>1881</v>
      </c>
      <c r="B99" s="51" t="n">
        <v>95</v>
      </c>
      <c r="C99" s="52" t="s">
        <v>1882</v>
      </c>
      <c r="D99" s="53" t="s">
        <v>1883</v>
      </c>
      <c r="E99" s="54" t="s">
        <v>1884</v>
      </c>
      <c r="F99" s="54" t="s">
        <v>823</v>
      </c>
      <c r="G99" s="54" t="s">
        <v>1885</v>
      </c>
      <c r="H99" s="54" t="s">
        <v>1886</v>
      </c>
      <c r="I99" s="53" t="s">
        <v>1887</v>
      </c>
      <c r="J99" s="54" t="s">
        <v>1888</v>
      </c>
      <c r="K99" s="53" t="s">
        <v>1889</v>
      </c>
      <c r="L99" s="61" t="s">
        <v>10</v>
      </c>
      <c r="M99" s="62" t="n">
        <v>2</v>
      </c>
      <c r="N99" s="63" t="s">
        <v>1029</v>
      </c>
      <c r="O99" s="51" t="s">
        <v>95</v>
      </c>
      <c r="P99" s="54"/>
      <c r="Q99" s="54" t="s">
        <v>131</v>
      </c>
      <c r="R99" s="58" t="s">
        <v>132</v>
      </c>
      <c r="S99" s="54" t="s">
        <v>98</v>
      </c>
    </row>
    <row r="100" customFormat="false" ht="35.05" hidden="false" customHeight="false" outlineLevel="0" collapsed="false">
      <c r="A100" s="51" t="s">
        <v>1890</v>
      </c>
      <c r="B100" s="51" t="n">
        <v>96</v>
      </c>
      <c r="C100" s="52" t="s">
        <v>1891</v>
      </c>
      <c r="D100" s="53" t="s">
        <v>1892</v>
      </c>
      <c r="E100" s="54" t="s">
        <v>1893</v>
      </c>
      <c r="F100" s="54" t="s">
        <v>88</v>
      </c>
      <c r="G100" s="54" t="s">
        <v>1894</v>
      </c>
      <c r="H100" s="54" t="s">
        <v>1895</v>
      </c>
      <c r="I100" s="53" t="s">
        <v>1896</v>
      </c>
      <c r="J100" s="54" t="s">
        <v>1897</v>
      </c>
      <c r="K100" s="53" t="s">
        <v>1898</v>
      </c>
      <c r="L100" s="61" t="s">
        <v>10</v>
      </c>
      <c r="M100" s="62" t="n">
        <v>2</v>
      </c>
      <c r="N100" s="63" t="s">
        <v>1029</v>
      </c>
      <c r="O100" s="51" t="s">
        <v>95</v>
      </c>
      <c r="P100" s="54"/>
      <c r="Q100" s="54" t="s">
        <v>131</v>
      </c>
      <c r="R100" s="58" t="s">
        <v>132</v>
      </c>
      <c r="S100" s="54" t="s">
        <v>98</v>
      </c>
    </row>
    <row r="101" customFormat="false" ht="35.05" hidden="false" customHeight="false" outlineLevel="0" collapsed="false">
      <c r="A101" s="51" t="s">
        <v>1899</v>
      </c>
      <c r="B101" s="51" t="n">
        <v>97</v>
      </c>
      <c r="C101" s="52" t="s">
        <v>1900</v>
      </c>
      <c r="D101" s="53" t="s">
        <v>1901</v>
      </c>
      <c r="E101" s="54" t="s">
        <v>1902</v>
      </c>
      <c r="F101" s="54" t="s">
        <v>823</v>
      </c>
      <c r="G101" s="54" t="s">
        <v>1903</v>
      </c>
      <c r="H101" s="54" t="s">
        <v>1904</v>
      </c>
      <c r="I101" s="53" t="s">
        <v>1905</v>
      </c>
      <c r="J101" s="54" t="s">
        <v>1906</v>
      </c>
      <c r="K101" s="53" t="s">
        <v>1907</v>
      </c>
      <c r="L101" s="61" t="s">
        <v>10</v>
      </c>
      <c r="M101" s="62" t="n">
        <v>2</v>
      </c>
      <c r="N101" s="63" t="s">
        <v>1029</v>
      </c>
      <c r="O101" s="51" t="s">
        <v>95</v>
      </c>
      <c r="P101" s="54"/>
      <c r="Q101" s="54" t="s">
        <v>96</v>
      </c>
      <c r="R101" s="58" t="s">
        <v>97</v>
      </c>
      <c r="S101" s="54" t="s">
        <v>98</v>
      </c>
    </row>
    <row r="102" customFormat="false" ht="35.05" hidden="false" customHeight="false" outlineLevel="0" collapsed="false">
      <c r="A102" s="51" t="s">
        <v>1908</v>
      </c>
      <c r="B102" s="51" t="n">
        <v>98</v>
      </c>
      <c r="C102" s="52" t="s">
        <v>1909</v>
      </c>
      <c r="D102" s="53" t="s">
        <v>1910</v>
      </c>
      <c r="E102" s="54" t="s">
        <v>1911</v>
      </c>
      <c r="F102" s="54" t="s">
        <v>823</v>
      </c>
      <c r="G102" s="54" t="s">
        <v>1912</v>
      </c>
      <c r="H102" s="54" t="s">
        <v>1913</v>
      </c>
      <c r="I102" s="53" t="s">
        <v>1914</v>
      </c>
      <c r="J102" s="54" t="s">
        <v>1915</v>
      </c>
      <c r="K102" s="53" t="s">
        <v>1916</v>
      </c>
      <c r="L102" s="61" t="s">
        <v>10</v>
      </c>
      <c r="M102" s="62" t="n">
        <v>2</v>
      </c>
      <c r="N102" s="63" t="s">
        <v>1029</v>
      </c>
      <c r="O102" s="51" t="s">
        <v>95</v>
      </c>
      <c r="P102" s="54"/>
      <c r="Q102" s="54" t="s">
        <v>96</v>
      </c>
      <c r="R102" s="58" t="s">
        <v>97</v>
      </c>
      <c r="S102" s="54" t="s">
        <v>98</v>
      </c>
    </row>
    <row r="103" customFormat="false" ht="35.05" hidden="false" customHeight="false" outlineLevel="0" collapsed="false">
      <c r="A103" s="51" t="s">
        <v>1917</v>
      </c>
      <c r="B103" s="51" t="n">
        <v>99</v>
      </c>
      <c r="C103" s="52" t="s">
        <v>1918</v>
      </c>
      <c r="D103" s="53" t="s">
        <v>1919</v>
      </c>
      <c r="E103" s="54" t="s">
        <v>1920</v>
      </c>
      <c r="F103" s="54" t="s">
        <v>1157</v>
      </c>
      <c r="G103" s="54" t="s">
        <v>1921</v>
      </c>
      <c r="H103" s="54" t="s">
        <v>1922</v>
      </c>
      <c r="I103" s="53" t="s">
        <v>1923</v>
      </c>
      <c r="J103" s="54" t="s">
        <v>1924</v>
      </c>
      <c r="K103" s="53" t="s">
        <v>1925</v>
      </c>
      <c r="L103" s="61" t="s">
        <v>10</v>
      </c>
      <c r="M103" s="62" t="n">
        <v>2</v>
      </c>
      <c r="N103" s="63" t="s">
        <v>1029</v>
      </c>
      <c r="O103" s="51" t="s">
        <v>95</v>
      </c>
      <c r="P103" s="54"/>
      <c r="Q103" s="54" t="s">
        <v>131</v>
      </c>
      <c r="R103" s="58" t="s">
        <v>132</v>
      </c>
      <c r="S103" s="54" t="s">
        <v>98</v>
      </c>
    </row>
    <row r="104" customFormat="false" ht="35.05" hidden="false" customHeight="false" outlineLevel="0" collapsed="false">
      <c r="A104" s="51" t="s">
        <v>1926</v>
      </c>
      <c r="B104" s="51" t="n">
        <v>100</v>
      </c>
      <c r="C104" s="52" t="s">
        <v>1927</v>
      </c>
      <c r="D104" s="53" t="s">
        <v>1928</v>
      </c>
      <c r="E104" s="54" t="s">
        <v>1929</v>
      </c>
      <c r="F104" s="54" t="s">
        <v>88</v>
      </c>
      <c r="G104" s="54" t="s">
        <v>1930</v>
      </c>
      <c r="H104" s="54" t="s">
        <v>1931</v>
      </c>
      <c r="I104" s="53" t="s">
        <v>1932</v>
      </c>
      <c r="J104" s="54" t="s">
        <v>1933</v>
      </c>
      <c r="K104" s="53" t="s">
        <v>1934</v>
      </c>
      <c r="L104" s="61" t="s">
        <v>10</v>
      </c>
      <c r="M104" s="62" t="n">
        <v>2</v>
      </c>
      <c r="N104" s="63" t="s">
        <v>1029</v>
      </c>
      <c r="O104" s="51" t="s">
        <v>95</v>
      </c>
      <c r="P104" s="54"/>
      <c r="Q104" s="54" t="s">
        <v>131</v>
      </c>
      <c r="R104" s="58" t="s">
        <v>132</v>
      </c>
      <c r="S104" s="54" t="s">
        <v>98</v>
      </c>
    </row>
    <row r="105" customFormat="false" ht="35.05" hidden="false" customHeight="false" outlineLevel="0" collapsed="false">
      <c r="A105" s="51" t="s">
        <v>1935</v>
      </c>
      <c r="B105" s="51" t="n">
        <v>101</v>
      </c>
      <c r="C105" s="52" t="s">
        <v>1936</v>
      </c>
      <c r="D105" s="53" t="s">
        <v>1937</v>
      </c>
      <c r="E105" s="54" t="s">
        <v>1938</v>
      </c>
      <c r="F105" s="54" t="s">
        <v>88</v>
      </c>
      <c r="G105" s="54" t="s">
        <v>1939</v>
      </c>
      <c r="H105" s="54" t="s">
        <v>1940</v>
      </c>
      <c r="I105" s="53" t="s">
        <v>1941</v>
      </c>
      <c r="J105" s="54" t="s">
        <v>1942</v>
      </c>
      <c r="K105" s="53" t="s">
        <v>1943</v>
      </c>
      <c r="L105" s="61" t="s">
        <v>10</v>
      </c>
      <c r="M105" s="62" t="n">
        <v>2</v>
      </c>
      <c r="N105" s="63" t="s">
        <v>1029</v>
      </c>
      <c r="O105" s="51" t="s">
        <v>95</v>
      </c>
      <c r="P105" s="54"/>
      <c r="Q105" s="54" t="s">
        <v>131</v>
      </c>
      <c r="R105" s="58" t="s">
        <v>132</v>
      </c>
      <c r="S105" s="54" t="s">
        <v>98</v>
      </c>
    </row>
    <row r="106" customFormat="false" ht="35.05" hidden="false" customHeight="false" outlineLevel="0" collapsed="false">
      <c r="A106" s="51" t="s">
        <v>1944</v>
      </c>
      <c r="B106" s="51" t="n">
        <v>102</v>
      </c>
      <c r="C106" s="52" t="s">
        <v>1945</v>
      </c>
      <c r="D106" s="53" t="s">
        <v>1946</v>
      </c>
      <c r="E106" s="54" t="s">
        <v>1947</v>
      </c>
      <c r="F106" s="54" t="s">
        <v>88</v>
      </c>
      <c r="G106" s="54" t="s">
        <v>1948</v>
      </c>
      <c r="H106" s="54" t="s">
        <v>1949</v>
      </c>
      <c r="I106" s="53" t="s">
        <v>1950</v>
      </c>
      <c r="J106" s="54" t="s">
        <v>1951</v>
      </c>
      <c r="K106" s="53" t="s">
        <v>1952</v>
      </c>
      <c r="L106" s="61" t="s">
        <v>10</v>
      </c>
      <c r="M106" s="62" t="n">
        <v>2</v>
      </c>
      <c r="N106" s="63" t="s">
        <v>1029</v>
      </c>
      <c r="O106" s="51" t="s">
        <v>95</v>
      </c>
      <c r="P106" s="54"/>
      <c r="Q106" s="54" t="s">
        <v>131</v>
      </c>
      <c r="R106" s="58" t="s">
        <v>132</v>
      </c>
      <c r="S106" s="54" t="s">
        <v>98</v>
      </c>
    </row>
    <row r="107" customFormat="false" ht="35.05" hidden="false" customHeight="false" outlineLevel="0" collapsed="false">
      <c r="A107" s="51" t="s">
        <v>1953</v>
      </c>
      <c r="B107" s="51" t="n">
        <v>103</v>
      </c>
      <c r="C107" s="52" t="s">
        <v>1954</v>
      </c>
      <c r="D107" s="53" t="s">
        <v>1955</v>
      </c>
      <c r="E107" s="54" t="s">
        <v>1956</v>
      </c>
      <c r="F107" s="54" t="s">
        <v>1120</v>
      </c>
      <c r="G107" s="54" t="s">
        <v>1957</v>
      </c>
      <c r="H107" s="54" t="s">
        <v>1958</v>
      </c>
      <c r="I107" s="53" t="s">
        <v>1959</v>
      </c>
      <c r="J107" s="54" t="s">
        <v>1960</v>
      </c>
      <c r="K107" s="53" t="s">
        <v>1961</v>
      </c>
      <c r="L107" s="61" t="s">
        <v>10</v>
      </c>
      <c r="M107" s="62" t="n">
        <v>2</v>
      </c>
      <c r="N107" s="63" t="s">
        <v>1029</v>
      </c>
      <c r="O107" s="51" t="s">
        <v>95</v>
      </c>
      <c r="P107" s="54"/>
      <c r="Q107" s="54" t="s">
        <v>131</v>
      </c>
      <c r="R107" s="58" t="s">
        <v>132</v>
      </c>
      <c r="S107" s="54" t="s">
        <v>98</v>
      </c>
    </row>
    <row r="108" customFormat="false" ht="35.05" hidden="false" customHeight="false" outlineLevel="0" collapsed="false">
      <c r="A108" s="51" t="s">
        <v>1962</v>
      </c>
      <c r="B108" s="51" t="n">
        <v>104</v>
      </c>
      <c r="C108" s="52" t="s">
        <v>1963</v>
      </c>
      <c r="D108" s="53" t="s">
        <v>1964</v>
      </c>
      <c r="E108" s="54" t="s">
        <v>1965</v>
      </c>
      <c r="F108" s="54" t="s">
        <v>1120</v>
      </c>
      <c r="G108" s="54" t="s">
        <v>1966</v>
      </c>
      <c r="H108" s="54" t="s">
        <v>1967</v>
      </c>
      <c r="I108" s="53" t="s">
        <v>1968</v>
      </c>
      <c r="J108" s="54" t="s">
        <v>1969</v>
      </c>
      <c r="K108" s="53" t="s">
        <v>1970</v>
      </c>
      <c r="L108" s="61" t="s">
        <v>10</v>
      </c>
      <c r="M108" s="62" t="n">
        <v>2</v>
      </c>
      <c r="N108" s="63" t="s">
        <v>1029</v>
      </c>
      <c r="O108" s="51" t="s">
        <v>95</v>
      </c>
      <c r="P108" s="54"/>
      <c r="Q108" s="54" t="s">
        <v>131</v>
      </c>
      <c r="R108" s="58" t="s">
        <v>132</v>
      </c>
      <c r="S108" s="54" t="s">
        <v>98</v>
      </c>
    </row>
    <row r="109" customFormat="false" ht="35.05" hidden="false" customHeight="false" outlineLevel="0" collapsed="false">
      <c r="A109" s="51" t="s">
        <v>1971</v>
      </c>
      <c r="B109" s="51" t="n">
        <v>105</v>
      </c>
      <c r="C109" s="52" t="s">
        <v>1972</v>
      </c>
      <c r="D109" s="53" t="s">
        <v>1973</v>
      </c>
      <c r="E109" s="54" t="s">
        <v>1974</v>
      </c>
      <c r="F109" s="54" t="s">
        <v>823</v>
      </c>
      <c r="G109" s="54" t="s">
        <v>1975</v>
      </c>
      <c r="H109" s="54" t="s">
        <v>1976</v>
      </c>
      <c r="I109" s="53" t="s">
        <v>1977</v>
      </c>
      <c r="J109" s="54" t="s">
        <v>1978</v>
      </c>
      <c r="K109" s="53" t="s">
        <v>1979</v>
      </c>
      <c r="L109" s="61" t="s">
        <v>10</v>
      </c>
      <c r="M109" s="62" t="n">
        <v>2</v>
      </c>
      <c r="N109" s="63" t="s">
        <v>1029</v>
      </c>
      <c r="O109" s="51" t="s">
        <v>95</v>
      </c>
      <c r="P109" s="54"/>
      <c r="Q109" s="54" t="s">
        <v>516</v>
      </c>
      <c r="R109" s="58" t="s">
        <v>517</v>
      </c>
      <c r="S109" s="54" t="s">
        <v>98</v>
      </c>
    </row>
    <row r="110" customFormat="false" ht="35.05" hidden="false" customHeight="false" outlineLevel="0" collapsed="false">
      <c r="A110" s="51" t="s">
        <v>1980</v>
      </c>
      <c r="B110" s="51" t="n">
        <v>106</v>
      </c>
      <c r="C110" s="52" t="s">
        <v>1981</v>
      </c>
      <c r="D110" s="53" t="s">
        <v>1982</v>
      </c>
      <c r="E110" s="54" t="s">
        <v>1983</v>
      </c>
      <c r="F110" s="54" t="s">
        <v>88</v>
      </c>
      <c r="G110" s="54" t="s">
        <v>1984</v>
      </c>
      <c r="H110" s="54" t="s">
        <v>1985</v>
      </c>
      <c r="I110" s="53" t="s">
        <v>1986</v>
      </c>
      <c r="J110" s="54" t="s">
        <v>1987</v>
      </c>
      <c r="K110" s="53" t="s">
        <v>1988</v>
      </c>
      <c r="L110" s="61" t="s">
        <v>10</v>
      </c>
      <c r="M110" s="62" t="n">
        <v>2</v>
      </c>
      <c r="N110" s="63" t="s">
        <v>1029</v>
      </c>
      <c r="O110" s="59" t="s">
        <v>161</v>
      </c>
      <c r="P110" s="54" t="s">
        <v>1507</v>
      </c>
      <c r="Q110" s="54" t="s">
        <v>131</v>
      </c>
      <c r="R110" s="58" t="s">
        <v>132</v>
      </c>
      <c r="S110" s="54" t="s">
        <v>98</v>
      </c>
    </row>
    <row r="111" customFormat="false" ht="35.05" hidden="false" customHeight="false" outlineLevel="0" collapsed="false">
      <c r="A111" s="51" t="s">
        <v>1989</v>
      </c>
      <c r="B111" s="51" t="n">
        <v>107</v>
      </c>
      <c r="C111" s="52" t="s">
        <v>1990</v>
      </c>
      <c r="D111" s="53" t="s">
        <v>1991</v>
      </c>
      <c r="E111" s="54" t="s">
        <v>1992</v>
      </c>
      <c r="F111" s="54" t="s">
        <v>1120</v>
      </c>
      <c r="G111" s="54" t="s">
        <v>1993</v>
      </c>
      <c r="H111" s="54" t="s">
        <v>1994</v>
      </c>
      <c r="I111" s="53" t="s">
        <v>1995</v>
      </c>
      <c r="J111" s="54" t="s">
        <v>1996</v>
      </c>
      <c r="K111" s="53" t="s">
        <v>1997</v>
      </c>
      <c r="L111" s="61" t="s">
        <v>10</v>
      </c>
      <c r="M111" s="62" t="n">
        <v>2</v>
      </c>
      <c r="N111" s="63" t="s">
        <v>1029</v>
      </c>
      <c r="O111" s="51" t="s">
        <v>95</v>
      </c>
      <c r="P111" s="54"/>
      <c r="Q111" s="54" t="s">
        <v>131</v>
      </c>
      <c r="R111" s="58" t="s">
        <v>132</v>
      </c>
      <c r="S111" s="54" t="s">
        <v>98</v>
      </c>
    </row>
    <row r="112" customFormat="false" ht="35.05" hidden="false" customHeight="false" outlineLevel="0" collapsed="false">
      <c r="A112" s="51" t="s">
        <v>1998</v>
      </c>
      <c r="B112" s="51" t="n">
        <v>108</v>
      </c>
      <c r="C112" s="52" t="s">
        <v>1999</v>
      </c>
      <c r="D112" s="53" t="s">
        <v>2000</v>
      </c>
      <c r="E112" s="54" t="s">
        <v>2001</v>
      </c>
      <c r="F112" s="54" t="s">
        <v>1157</v>
      </c>
      <c r="G112" s="54" t="s">
        <v>2002</v>
      </c>
      <c r="H112" s="54" t="s">
        <v>2003</v>
      </c>
      <c r="I112" s="53" t="s">
        <v>2004</v>
      </c>
      <c r="J112" s="54" t="s">
        <v>2005</v>
      </c>
      <c r="K112" s="53" t="s">
        <v>2006</v>
      </c>
      <c r="L112" s="61" t="s">
        <v>10</v>
      </c>
      <c r="M112" s="62" t="n">
        <v>2</v>
      </c>
      <c r="N112" s="63" t="s">
        <v>1029</v>
      </c>
      <c r="O112" s="51" t="s">
        <v>95</v>
      </c>
      <c r="P112" s="54"/>
      <c r="Q112" s="54" t="s">
        <v>131</v>
      </c>
      <c r="R112" s="58" t="s">
        <v>132</v>
      </c>
      <c r="S112" s="54" t="s">
        <v>98</v>
      </c>
    </row>
    <row r="113" customFormat="false" ht="35.05" hidden="false" customHeight="false" outlineLevel="0" collapsed="false">
      <c r="A113" s="51" t="s">
        <v>2007</v>
      </c>
      <c r="B113" s="51" t="n">
        <v>109</v>
      </c>
      <c r="C113" s="52" t="s">
        <v>2008</v>
      </c>
      <c r="D113" s="53" t="s">
        <v>2009</v>
      </c>
      <c r="E113" s="54" t="s">
        <v>2010</v>
      </c>
      <c r="F113" s="54" t="s">
        <v>823</v>
      </c>
      <c r="G113" s="54" t="s">
        <v>2011</v>
      </c>
      <c r="H113" s="54" t="s">
        <v>2012</v>
      </c>
      <c r="I113" s="53" t="s">
        <v>2013</v>
      </c>
      <c r="J113" s="54" t="s">
        <v>2014</v>
      </c>
      <c r="K113" s="53" t="s">
        <v>2015</v>
      </c>
      <c r="L113" s="61" t="s">
        <v>10</v>
      </c>
      <c r="M113" s="62" t="n">
        <v>2</v>
      </c>
      <c r="N113" s="63" t="s">
        <v>1029</v>
      </c>
      <c r="O113" s="51" t="s">
        <v>95</v>
      </c>
      <c r="P113" s="54"/>
      <c r="Q113" s="54" t="s">
        <v>516</v>
      </c>
      <c r="R113" s="58" t="s">
        <v>517</v>
      </c>
      <c r="S113" s="54" t="s">
        <v>98</v>
      </c>
    </row>
    <row r="114" customFormat="false" ht="35.05" hidden="false" customHeight="false" outlineLevel="0" collapsed="false">
      <c r="A114" s="51" t="s">
        <v>2016</v>
      </c>
      <c r="B114" s="51" t="n">
        <v>110</v>
      </c>
      <c r="C114" s="52" t="s">
        <v>2017</v>
      </c>
      <c r="D114" s="53" t="s">
        <v>2018</v>
      </c>
      <c r="E114" s="54" t="s">
        <v>2019</v>
      </c>
      <c r="F114" s="54" t="s">
        <v>88</v>
      </c>
      <c r="G114" s="54" t="s">
        <v>2020</v>
      </c>
      <c r="H114" s="54" t="s">
        <v>2021</v>
      </c>
      <c r="I114" s="53" t="s">
        <v>2022</v>
      </c>
      <c r="J114" s="54" t="s">
        <v>2023</v>
      </c>
      <c r="K114" s="53" t="s">
        <v>2024</v>
      </c>
      <c r="L114" s="61" t="s">
        <v>10</v>
      </c>
      <c r="M114" s="62" t="n">
        <v>2</v>
      </c>
      <c r="N114" s="63" t="s">
        <v>1029</v>
      </c>
      <c r="O114" s="51" t="s">
        <v>95</v>
      </c>
      <c r="P114" s="54"/>
      <c r="Q114" s="54" t="s">
        <v>131</v>
      </c>
      <c r="R114" s="58" t="s">
        <v>132</v>
      </c>
      <c r="S114" s="54" t="s">
        <v>98</v>
      </c>
    </row>
  </sheetData>
  <autoFilter ref="A4:S114"/>
  <mergeCells count="2">
    <mergeCell ref="A1:S1"/>
    <mergeCell ref="A2:S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8C00"/>
    <pageSetUpPr fitToPage="true"/>
  </sheetPr>
  <dimension ref="A1:S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
    <col collapsed="false" customWidth="true" hidden="false" outlineLevel="0" max="3" min="3" style="0" width="30"/>
    <col collapsed="false" customWidth="true" hidden="false" outlineLevel="0" max="4" min="4" style="0" width="26"/>
    <col collapsed="false" customWidth="true" hidden="false" outlineLevel="0" max="5" min="5" style="0" width="24"/>
    <col collapsed="false" customWidth="true" hidden="false" outlineLevel="0" max="6" min="6" style="0" width="22"/>
    <col collapsed="false" customWidth="true" hidden="false" outlineLevel="0" max="7" min="7" style="0" width="55"/>
    <col collapsed="false" customWidth="true" hidden="false" outlineLevel="0" max="8" min="8" style="0" width="46"/>
    <col collapsed="false" customWidth="true" hidden="false" outlineLevel="0" max="9" min="9" style="0" width="44"/>
    <col collapsed="false" customWidth="true" hidden="false" outlineLevel="0" max="10" min="10" style="0" width="46"/>
    <col collapsed="false" customWidth="true" hidden="false" outlineLevel="0" max="11" min="11" style="0" width="44"/>
    <col collapsed="false" customWidth="true" hidden="false" outlineLevel="0" max="12" min="12" style="0" width="14"/>
    <col collapsed="false" customWidth="true" hidden="false" outlineLevel="0" max="13" min="13" style="0" width="8"/>
    <col collapsed="false" customWidth="true" hidden="false" outlineLevel="0" max="14" min="14" style="0" width="30"/>
    <col collapsed="false" customWidth="true" hidden="false" outlineLevel="0" max="15" min="15" style="0" width="12"/>
    <col collapsed="false" customWidth="true" hidden="false" outlineLevel="0" max="16" min="16" style="0" width="24"/>
    <col collapsed="false" customWidth="true" hidden="false" outlineLevel="0" max="17" min="17" style="0" width="28"/>
    <col collapsed="false" customWidth="true" hidden="false" outlineLevel="0" max="18" min="18" style="0" width="45"/>
    <col collapsed="false" customWidth="true" hidden="false" outlineLevel="0" max="19" min="19" style="0" width="50"/>
  </cols>
  <sheetData>
    <row r="1" customFormat="false" ht="17.15" hidden="false" customHeight="false" outlineLevel="0" collapsed="false">
      <c r="A1" s="1" t="s">
        <v>4068</v>
      </c>
      <c r="B1" s="1"/>
      <c r="C1" s="1"/>
      <c r="D1" s="1"/>
      <c r="E1" s="1"/>
      <c r="F1" s="1"/>
      <c r="G1" s="1"/>
      <c r="H1" s="1"/>
      <c r="I1" s="1"/>
      <c r="J1" s="1"/>
      <c r="K1" s="1"/>
      <c r="L1" s="1"/>
      <c r="M1" s="1"/>
      <c r="N1" s="1"/>
      <c r="O1" s="1"/>
      <c r="P1" s="1"/>
      <c r="Q1" s="1"/>
      <c r="R1" s="1"/>
      <c r="S1" s="1"/>
    </row>
    <row r="2" customFormat="false" ht="11.9" hidden="false" customHeight="false" outlineLevel="0" collapsed="false">
      <c r="A2" s="2" t="s">
        <v>4069</v>
      </c>
      <c r="B2" s="2"/>
      <c r="C2" s="2"/>
      <c r="D2" s="2"/>
      <c r="E2" s="2"/>
      <c r="F2" s="2"/>
      <c r="G2" s="2"/>
      <c r="H2" s="2"/>
      <c r="I2" s="2"/>
      <c r="J2" s="2"/>
      <c r="K2" s="2"/>
      <c r="L2" s="2"/>
      <c r="M2" s="2"/>
      <c r="N2" s="2"/>
      <c r="O2" s="2"/>
      <c r="P2" s="2"/>
      <c r="Q2" s="2"/>
      <c r="R2" s="2"/>
      <c r="S2" s="2"/>
    </row>
    <row r="4" customFormat="false" ht="30" hidden="false" customHeight="true" outlineLevel="0" collapsed="false">
      <c r="A4" s="3" t="s">
        <v>50</v>
      </c>
      <c r="B4" s="3" t="s">
        <v>74</v>
      </c>
      <c r="C4" s="3" t="s">
        <v>75</v>
      </c>
      <c r="D4" s="3" t="s">
        <v>76</v>
      </c>
      <c r="E4" s="3" t="s">
        <v>54</v>
      </c>
      <c r="F4" s="3" t="s">
        <v>56</v>
      </c>
      <c r="G4" s="3" t="s">
        <v>58</v>
      </c>
      <c r="H4" s="3" t="s">
        <v>77</v>
      </c>
      <c r="I4" s="3" t="s">
        <v>78</v>
      </c>
      <c r="J4" s="3" t="s">
        <v>79</v>
      </c>
      <c r="K4" s="3" t="s">
        <v>80</v>
      </c>
      <c r="L4" s="3" t="s">
        <v>62</v>
      </c>
      <c r="M4" s="3" t="s">
        <v>2</v>
      </c>
      <c r="N4" s="3" t="s">
        <v>81</v>
      </c>
      <c r="O4" s="3" t="s">
        <v>64</v>
      </c>
      <c r="P4" s="3" t="s">
        <v>66</v>
      </c>
      <c r="Q4" s="3" t="s">
        <v>82</v>
      </c>
      <c r="R4" s="3" t="s">
        <v>83</v>
      </c>
      <c r="S4" s="3" t="s">
        <v>70</v>
      </c>
    </row>
    <row r="5" customFormat="false" ht="68.65" hidden="false" customHeight="false" outlineLevel="0" collapsed="false">
      <c r="A5" s="51" t="s">
        <v>2025</v>
      </c>
      <c r="B5" s="51" t="n">
        <v>1</v>
      </c>
      <c r="C5" s="52" t="s">
        <v>2026</v>
      </c>
      <c r="D5" s="53" t="s">
        <v>2027</v>
      </c>
      <c r="E5" s="54" t="s">
        <v>2028</v>
      </c>
      <c r="F5" s="54" t="s">
        <v>2029</v>
      </c>
      <c r="G5" s="54" t="s">
        <v>2030</v>
      </c>
      <c r="H5" s="54" t="s">
        <v>2031</v>
      </c>
      <c r="I5" s="53" t="s">
        <v>2032</v>
      </c>
      <c r="J5" s="54" t="s">
        <v>2033</v>
      </c>
      <c r="K5" s="53" t="s">
        <v>2034</v>
      </c>
      <c r="L5" s="55" t="s">
        <v>8</v>
      </c>
      <c r="M5" s="64" t="n">
        <v>3</v>
      </c>
      <c r="N5" s="65" t="s">
        <v>2035</v>
      </c>
      <c r="O5" s="51" t="s">
        <v>95</v>
      </c>
      <c r="P5" s="54"/>
      <c r="Q5" s="54" t="s">
        <v>237</v>
      </c>
      <c r="R5" s="58" t="s">
        <v>238</v>
      </c>
      <c r="S5" s="54" t="s">
        <v>98</v>
      </c>
    </row>
    <row r="6" customFormat="false" ht="35.05" hidden="false" customHeight="false" outlineLevel="0" collapsed="false">
      <c r="A6" s="51" t="s">
        <v>2036</v>
      </c>
      <c r="B6" s="51" t="n">
        <v>2</v>
      </c>
      <c r="C6" s="52" t="s">
        <v>2037</v>
      </c>
      <c r="D6" s="53" t="s">
        <v>2038</v>
      </c>
      <c r="E6" s="54" t="s">
        <v>2039</v>
      </c>
      <c r="F6" s="54" t="s">
        <v>249</v>
      </c>
      <c r="G6" s="54" t="s">
        <v>2040</v>
      </c>
      <c r="H6" s="54" t="s">
        <v>2041</v>
      </c>
      <c r="I6" s="53" t="s">
        <v>2042</v>
      </c>
      <c r="J6" s="54" t="s">
        <v>2043</v>
      </c>
      <c r="K6" s="53" t="s">
        <v>2044</v>
      </c>
      <c r="L6" s="55" t="s">
        <v>8</v>
      </c>
      <c r="M6" s="64" t="n">
        <v>3</v>
      </c>
      <c r="N6" s="65" t="s">
        <v>2035</v>
      </c>
      <c r="O6" s="51" t="s">
        <v>95</v>
      </c>
      <c r="P6" s="54"/>
      <c r="Q6" s="54" t="s">
        <v>96</v>
      </c>
      <c r="R6" s="58" t="s">
        <v>97</v>
      </c>
      <c r="S6" s="54" t="s">
        <v>98</v>
      </c>
    </row>
    <row r="7" customFormat="false" ht="35.05" hidden="false" customHeight="false" outlineLevel="0" collapsed="false">
      <c r="A7" s="51" t="s">
        <v>2045</v>
      </c>
      <c r="B7" s="51" t="n">
        <v>3</v>
      </c>
      <c r="C7" s="52" t="s">
        <v>2046</v>
      </c>
      <c r="D7" s="53" t="s">
        <v>2047</v>
      </c>
      <c r="E7" s="54" t="s">
        <v>2048</v>
      </c>
      <c r="F7" s="54" t="s">
        <v>261</v>
      </c>
      <c r="G7" s="54" t="s">
        <v>2049</v>
      </c>
      <c r="H7" s="54" t="s">
        <v>2050</v>
      </c>
      <c r="I7" s="53" t="s">
        <v>2051</v>
      </c>
      <c r="J7" s="54" t="s">
        <v>2052</v>
      </c>
      <c r="K7" s="53" t="s">
        <v>2053</v>
      </c>
      <c r="L7" s="55" t="s">
        <v>8</v>
      </c>
      <c r="M7" s="64" t="n">
        <v>3</v>
      </c>
      <c r="N7" s="65" t="s">
        <v>2035</v>
      </c>
      <c r="O7" s="51" t="s">
        <v>95</v>
      </c>
      <c r="P7" s="54"/>
      <c r="Q7" s="54" t="s">
        <v>131</v>
      </c>
      <c r="R7" s="58" t="s">
        <v>132</v>
      </c>
      <c r="S7" s="54" t="s">
        <v>98</v>
      </c>
    </row>
    <row r="8" customFormat="false" ht="35.05" hidden="false" customHeight="false" outlineLevel="0" collapsed="false">
      <c r="A8" s="51" t="s">
        <v>2054</v>
      </c>
      <c r="B8" s="51" t="n">
        <v>4</v>
      </c>
      <c r="C8" s="52" t="s">
        <v>2055</v>
      </c>
      <c r="D8" s="53" t="s">
        <v>2056</v>
      </c>
      <c r="E8" s="54" t="s">
        <v>2057</v>
      </c>
      <c r="F8" s="54" t="s">
        <v>548</v>
      </c>
      <c r="G8" s="54" t="s">
        <v>2058</v>
      </c>
      <c r="H8" s="54" t="s">
        <v>2059</v>
      </c>
      <c r="I8" s="53" t="s">
        <v>2060</v>
      </c>
      <c r="J8" s="54" t="s">
        <v>2061</v>
      </c>
      <c r="K8" s="53" t="s">
        <v>2062</v>
      </c>
      <c r="L8" s="55" t="s">
        <v>8</v>
      </c>
      <c r="M8" s="64" t="n">
        <v>3</v>
      </c>
      <c r="N8" s="65" t="s">
        <v>2035</v>
      </c>
      <c r="O8" s="51" t="s">
        <v>95</v>
      </c>
      <c r="P8" s="54"/>
      <c r="Q8" s="54" t="s">
        <v>131</v>
      </c>
      <c r="R8" s="58" t="s">
        <v>132</v>
      </c>
      <c r="S8" s="54" t="s">
        <v>98</v>
      </c>
    </row>
    <row r="9" customFormat="false" ht="68.65" hidden="false" customHeight="false" outlineLevel="0" collapsed="false">
      <c r="A9" s="51" t="s">
        <v>2063</v>
      </c>
      <c r="B9" s="51" t="n">
        <v>5</v>
      </c>
      <c r="C9" s="52" t="s">
        <v>2064</v>
      </c>
      <c r="D9" s="53" t="s">
        <v>2065</v>
      </c>
      <c r="E9" s="54" t="s">
        <v>2066</v>
      </c>
      <c r="F9" s="54" t="s">
        <v>548</v>
      </c>
      <c r="G9" s="54" t="s">
        <v>2067</v>
      </c>
      <c r="H9" s="54" t="s">
        <v>2068</v>
      </c>
      <c r="I9" s="53" t="s">
        <v>2069</v>
      </c>
      <c r="J9" s="54" t="s">
        <v>2070</v>
      </c>
      <c r="K9" s="53" t="s">
        <v>2071</v>
      </c>
      <c r="L9" s="55" t="s">
        <v>8</v>
      </c>
      <c r="M9" s="64" t="n">
        <v>3</v>
      </c>
      <c r="N9" s="65" t="s">
        <v>2035</v>
      </c>
      <c r="O9" s="59" t="s">
        <v>161</v>
      </c>
      <c r="P9" s="54" t="s">
        <v>2072</v>
      </c>
      <c r="Q9" s="54" t="s">
        <v>237</v>
      </c>
      <c r="R9" s="58" t="s">
        <v>238</v>
      </c>
      <c r="S9" s="54" t="s">
        <v>98</v>
      </c>
    </row>
    <row r="10" customFormat="false" ht="35.05" hidden="false" customHeight="false" outlineLevel="0" collapsed="false">
      <c r="A10" s="51" t="s">
        <v>2073</v>
      </c>
      <c r="B10" s="51" t="n">
        <v>6</v>
      </c>
      <c r="C10" s="52" t="s">
        <v>2074</v>
      </c>
      <c r="D10" s="53" t="s">
        <v>2075</v>
      </c>
      <c r="E10" s="54" t="s">
        <v>2076</v>
      </c>
      <c r="F10" s="54" t="s">
        <v>125</v>
      </c>
      <c r="G10" s="54" t="s">
        <v>2077</v>
      </c>
      <c r="H10" s="54" t="s">
        <v>2078</v>
      </c>
      <c r="I10" s="53" t="s">
        <v>2079</v>
      </c>
      <c r="J10" s="54" t="s">
        <v>2080</v>
      </c>
      <c r="K10" s="53" t="s">
        <v>2081</v>
      </c>
      <c r="L10" s="55" t="s">
        <v>8</v>
      </c>
      <c r="M10" s="64" t="n">
        <v>3</v>
      </c>
      <c r="N10" s="65" t="s">
        <v>2035</v>
      </c>
      <c r="O10" s="59" t="s">
        <v>161</v>
      </c>
      <c r="P10" s="54" t="s">
        <v>2082</v>
      </c>
      <c r="Q10" s="54" t="s">
        <v>516</v>
      </c>
      <c r="R10" s="58" t="s">
        <v>517</v>
      </c>
      <c r="S10" s="54" t="s">
        <v>98</v>
      </c>
    </row>
    <row r="11" customFormat="false" ht="35.05" hidden="false" customHeight="false" outlineLevel="0" collapsed="false">
      <c r="A11" s="51" t="s">
        <v>2083</v>
      </c>
      <c r="B11" s="51" t="n">
        <v>7</v>
      </c>
      <c r="C11" s="52" t="s">
        <v>2084</v>
      </c>
      <c r="D11" s="53" t="s">
        <v>2085</v>
      </c>
      <c r="E11" s="54" t="s">
        <v>2086</v>
      </c>
      <c r="F11" s="54" t="s">
        <v>548</v>
      </c>
      <c r="G11" s="54" t="s">
        <v>2087</v>
      </c>
      <c r="H11" s="54" t="s">
        <v>2088</v>
      </c>
      <c r="I11" s="53" t="s">
        <v>2089</v>
      </c>
      <c r="J11" s="54" t="s">
        <v>2090</v>
      </c>
      <c r="K11" s="53" t="s">
        <v>2091</v>
      </c>
      <c r="L11" s="55" t="s">
        <v>8</v>
      </c>
      <c r="M11" s="64" t="n">
        <v>3</v>
      </c>
      <c r="N11" s="65" t="s">
        <v>2035</v>
      </c>
      <c r="O11" s="51" t="s">
        <v>95</v>
      </c>
      <c r="P11" s="54"/>
      <c r="Q11" s="54" t="s">
        <v>96</v>
      </c>
      <c r="R11" s="58" t="s">
        <v>97</v>
      </c>
      <c r="S11" s="54" t="s">
        <v>98</v>
      </c>
    </row>
    <row r="12" customFormat="false" ht="46.25" hidden="false" customHeight="false" outlineLevel="0" collapsed="false">
      <c r="A12" s="51" t="s">
        <v>2092</v>
      </c>
      <c r="B12" s="51" t="n">
        <v>8</v>
      </c>
      <c r="C12" s="52" t="s">
        <v>2093</v>
      </c>
      <c r="D12" s="53" t="s">
        <v>2094</v>
      </c>
      <c r="E12" s="54" t="s">
        <v>2095</v>
      </c>
      <c r="F12" s="54" t="s">
        <v>548</v>
      </c>
      <c r="G12" s="54" t="s">
        <v>2096</v>
      </c>
      <c r="H12" s="54" t="s">
        <v>2097</v>
      </c>
      <c r="I12" s="53" t="s">
        <v>2098</v>
      </c>
      <c r="J12" s="54" t="s">
        <v>2099</v>
      </c>
      <c r="K12" s="53" t="s">
        <v>2100</v>
      </c>
      <c r="L12" s="55" t="s">
        <v>8</v>
      </c>
      <c r="M12" s="64" t="n">
        <v>3</v>
      </c>
      <c r="N12" s="65" t="s">
        <v>2035</v>
      </c>
      <c r="O12" s="51" t="s">
        <v>95</v>
      </c>
      <c r="P12" s="54"/>
      <c r="Q12" s="54" t="s">
        <v>109</v>
      </c>
      <c r="R12" s="58" t="s">
        <v>110</v>
      </c>
      <c r="S12" s="54" t="s">
        <v>98</v>
      </c>
    </row>
    <row r="13" customFormat="false" ht="35.05" hidden="false" customHeight="false" outlineLevel="0" collapsed="false">
      <c r="A13" s="51" t="s">
        <v>2101</v>
      </c>
      <c r="B13" s="51" t="n">
        <v>9</v>
      </c>
      <c r="C13" s="52" t="s">
        <v>2102</v>
      </c>
      <c r="D13" s="53" t="s">
        <v>2103</v>
      </c>
      <c r="E13" s="54" t="s">
        <v>2104</v>
      </c>
      <c r="F13" s="54" t="s">
        <v>548</v>
      </c>
      <c r="G13" s="54" t="s">
        <v>2105</v>
      </c>
      <c r="H13" s="54" t="s">
        <v>2106</v>
      </c>
      <c r="I13" s="53" t="s">
        <v>2107</v>
      </c>
      <c r="J13" s="54" t="s">
        <v>2108</v>
      </c>
      <c r="K13" s="53" t="s">
        <v>2109</v>
      </c>
      <c r="L13" s="55" t="s">
        <v>8</v>
      </c>
      <c r="M13" s="64" t="n">
        <v>3</v>
      </c>
      <c r="N13" s="65" t="s">
        <v>2035</v>
      </c>
      <c r="O13" s="51" t="s">
        <v>95</v>
      </c>
      <c r="P13" s="54"/>
      <c r="Q13" s="54" t="s">
        <v>96</v>
      </c>
      <c r="R13" s="58" t="s">
        <v>97</v>
      </c>
      <c r="S13" s="54" t="s">
        <v>98</v>
      </c>
    </row>
    <row r="14" customFormat="false" ht="35.05" hidden="false" customHeight="false" outlineLevel="0" collapsed="false">
      <c r="A14" s="51" t="s">
        <v>2110</v>
      </c>
      <c r="B14" s="51" t="n">
        <v>10</v>
      </c>
      <c r="C14" s="52" t="s">
        <v>2111</v>
      </c>
      <c r="D14" s="53" t="s">
        <v>2112</v>
      </c>
      <c r="E14" s="54" t="s">
        <v>2113</v>
      </c>
      <c r="F14" s="54" t="s">
        <v>548</v>
      </c>
      <c r="G14" s="54" t="s">
        <v>2114</v>
      </c>
      <c r="H14" s="54" t="s">
        <v>2115</v>
      </c>
      <c r="I14" s="53" t="s">
        <v>2116</v>
      </c>
      <c r="J14" s="54" t="s">
        <v>2117</v>
      </c>
      <c r="K14" s="53" t="s">
        <v>2118</v>
      </c>
      <c r="L14" s="55" t="s">
        <v>8</v>
      </c>
      <c r="M14" s="64" t="n">
        <v>3</v>
      </c>
      <c r="N14" s="65" t="s">
        <v>2035</v>
      </c>
      <c r="O14" s="59" t="s">
        <v>161</v>
      </c>
      <c r="P14" s="54" t="s">
        <v>2119</v>
      </c>
      <c r="Q14" s="54" t="s">
        <v>516</v>
      </c>
      <c r="R14" s="58" t="s">
        <v>517</v>
      </c>
      <c r="S14" s="54" t="s">
        <v>98</v>
      </c>
    </row>
    <row r="15" customFormat="false" ht="35.05" hidden="false" customHeight="false" outlineLevel="0" collapsed="false">
      <c r="A15" s="51" t="s">
        <v>2120</v>
      </c>
      <c r="B15" s="51" t="n">
        <v>11</v>
      </c>
      <c r="C15" s="52" t="s">
        <v>2121</v>
      </c>
      <c r="D15" s="53" t="s">
        <v>2122</v>
      </c>
      <c r="E15" s="54" t="s">
        <v>2123</v>
      </c>
      <c r="F15" s="54" t="s">
        <v>2029</v>
      </c>
      <c r="G15" s="54" t="s">
        <v>2124</v>
      </c>
      <c r="H15" s="54" t="s">
        <v>2125</v>
      </c>
      <c r="I15" s="53" t="s">
        <v>2126</v>
      </c>
      <c r="J15" s="54" t="s">
        <v>2127</v>
      </c>
      <c r="K15" s="53" t="s">
        <v>2128</v>
      </c>
      <c r="L15" s="55" t="s">
        <v>8</v>
      </c>
      <c r="M15" s="64" t="n">
        <v>3</v>
      </c>
      <c r="N15" s="65" t="s">
        <v>2035</v>
      </c>
      <c r="O15" s="51" t="s">
        <v>95</v>
      </c>
      <c r="P15" s="54"/>
      <c r="Q15" s="54" t="s">
        <v>516</v>
      </c>
      <c r="R15" s="58" t="s">
        <v>517</v>
      </c>
      <c r="S15" s="54" t="s">
        <v>98</v>
      </c>
    </row>
    <row r="16" customFormat="false" ht="46.25" hidden="false" customHeight="false" outlineLevel="0" collapsed="false">
      <c r="A16" s="51" t="s">
        <v>2129</v>
      </c>
      <c r="B16" s="51" t="n">
        <v>12</v>
      </c>
      <c r="C16" s="52" t="s">
        <v>2130</v>
      </c>
      <c r="D16" s="53" t="s">
        <v>2131</v>
      </c>
      <c r="E16" s="54" t="s">
        <v>2132</v>
      </c>
      <c r="F16" s="54" t="s">
        <v>2029</v>
      </c>
      <c r="G16" s="54" t="s">
        <v>2133</v>
      </c>
      <c r="H16" s="54" t="s">
        <v>2134</v>
      </c>
      <c r="I16" s="53" t="s">
        <v>2135</v>
      </c>
      <c r="J16" s="54" t="s">
        <v>2136</v>
      </c>
      <c r="K16" s="53" t="s">
        <v>2137</v>
      </c>
      <c r="L16" s="55" t="s">
        <v>8</v>
      </c>
      <c r="M16" s="64" t="n">
        <v>3</v>
      </c>
      <c r="N16" s="65" t="s">
        <v>2035</v>
      </c>
      <c r="O16" s="51" t="s">
        <v>95</v>
      </c>
      <c r="P16" s="54"/>
      <c r="Q16" s="54" t="s">
        <v>109</v>
      </c>
      <c r="R16" s="58" t="s">
        <v>110</v>
      </c>
      <c r="S16" s="54" t="s">
        <v>98</v>
      </c>
    </row>
    <row r="17" customFormat="false" ht="35.05" hidden="false" customHeight="false" outlineLevel="0" collapsed="false">
      <c r="A17" s="51" t="s">
        <v>2138</v>
      </c>
      <c r="B17" s="51" t="n">
        <v>13</v>
      </c>
      <c r="C17" s="52" t="s">
        <v>2139</v>
      </c>
      <c r="D17" s="53" t="s">
        <v>2140</v>
      </c>
      <c r="E17" s="54" t="s">
        <v>2141</v>
      </c>
      <c r="F17" s="54" t="s">
        <v>249</v>
      </c>
      <c r="G17" s="54" t="s">
        <v>2142</v>
      </c>
      <c r="H17" s="54" t="s">
        <v>2143</v>
      </c>
      <c r="I17" s="53" t="s">
        <v>2144</v>
      </c>
      <c r="J17" s="54" t="s">
        <v>2145</v>
      </c>
      <c r="K17" s="53" t="s">
        <v>2146</v>
      </c>
      <c r="L17" s="55" t="s">
        <v>8</v>
      </c>
      <c r="M17" s="64" t="n">
        <v>3</v>
      </c>
      <c r="N17" s="65" t="s">
        <v>2035</v>
      </c>
      <c r="O17" s="59" t="s">
        <v>161</v>
      </c>
      <c r="P17" s="54" t="s">
        <v>2147</v>
      </c>
      <c r="Q17" s="54" t="s">
        <v>516</v>
      </c>
      <c r="R17" s="58" t="s">
        <v>517</v>
      </c>
      <c r="S17" s="54" t="s">
        <v>98</v>
      </c>
    </row>
    <row r="18" customFormat="false" ht="35.05" hidden="false" customHeight="false" outlineLevel="0" collapsed="false">
      <c r="A18" s="51" t="s">
        <v>2148</v>
      </c>
      <c r="B18" s="51" t="n">
        <v>14</v>
      </c>
      <c r="C18" s="52" t="s">
        <v>2149</v>
      </c>
      <c r="D18" s="53" t="s">
        <v>2150</v>
      </c>
      <c r="E18" s="54" t="s">
        <v>2151</v>
      </c>
      <c r="F18" s="54" t="s">
        <v>548</v>
      </c>
      <c r="G18" s="54" t="s">
        <v>2152</v>
      </c>
      <c r="H18" s="54" t="s">
        <v>2153</v>
      </c>
      <c r="I18" s="53" t="s">
        <v>2154</v>
      </c>
      <c r="J18" s="54" t="s">
        <v>2155</v>
      </c>
      <c r="K18" s="53" t="s">
        <v>2156</v>
      </c>
      <c r="L18" s="55" t="s">
        <v>8</v>
      </c>
      <c r="M18" s="64" t="n">
        <v>3</v>
      </c>
      <c r="N18" s="65" t="s">
        <v>2035</v>
      </c>
      <c r="O18" s="51" t="s">
        <v>95</v>
      </c>
      <c r="P18" s="54"/>
      <c r="Q18" s="54" t="s">
        <v>131</v>
      </c>
      <c r="R18" s="58" t="s">
        <v>132</v>
      </c>
      <c r="S18" s="54" t="s">
        <v>98</v>
      </c>
    </row>
    <row r="19" customFormat="false" ht="35.05" hidden="false" customHeight="false" outlineLevel="0" collapsed="false">
      <c r="A19" s="51" t="s">
        <v>2157</v>
      </c>
      <c r="B19" s="51" t="n">
        <v>15</v>
      </c>
      <c r="C19" s="52" t="s">
        <v>2158</v>
      </c>
      <c r="D19" s="53" t="s">
        <v>2159</v>
      </c>
      <c r="E19" s="54" t="s">
        <v>2160</v>
      </c>
      <c r="F19" s="54" t="s">
        <v>249</v>
      </c>
      <c r="G19" s="54" t="s">
        <v>2161</v>
      </c>
      <c r="H19" s="54" t="s">
        <v>2162</v>
      </c>
      <c r="I19" s="53" t="s">
        <v>2163</v>
      </c>
      <c r="J19" s="54" t="s">
        <v>2164</v>
      </c>
      <c r="K19" s="53" t="s">
        <v>2165</v>
      </c>
      <c r="L19" s="55" t="s">
        <v>8</v>
      </c>
      <c r="M19" s="64" t="n">
        <v>3</v>
      </c>
      <c r="N19" s="65" t="s">
        <v>2035</v>
      </c>
      <c r="O19" s="51" t="s">
        <v>95</v>
      </c>
      <c r="P19" s="54"/>
      <c r="Q19" s="54" t="s">
        <v>96</v>
      </c>
      <c r="R19" s="58" t="s">
        <v>97</v>
      </c>
      <c r="S19" s="54" t="s">
        <v>98</v>
      </c>
    </row>
    <row r="20" customFormat="false" ht="68.65" hidden="false" customHeight="false" outlineLevel="0" collapsed="false">
      <c r="A20" s="51" t="s">
        <v>2166</v>
      </c>
      <c r="B20" s="51" t="n">
        <v>16</v>
      </c>
      <c r="C20" s="52" t="s">
        <v>2167</v>
      </c>
      <c r="D20" s="53" t="s">
        <v>2168</v>
      </c>
      <c r="E20" s="54" t="s">
        <v>2169</v>
      </c>
      <c r="F20" s="54" t="s">
        <v>2029</v>
      </c>
      <c r="G20" s="54" t="s">
        <v>2170</v>
      </c>
      <c r="H20" s="54" t="s">
        <v>2171</v>
      </c>
      <c r="I20" s="53" t="s">
        <v>2172</v>
      </c>
      <c r="J20" s="54" t="s">
        <v>2173</v>
      </c>
      <c r="K20" s="53" t="s">
        <v>2174</v>
      </c>
      <c r="L20" s="55" t="s">
        <v>8</v>
      </c>
      <c r="M20" s="64" t="n">
        <v>3</v>
      </c>
      <c r="N20" s="65" t="s">
        <v>2035</v>
      </c>
      <c r="O20" s="59" t="s">
        <v>161</v>
      </c>
      <c r="P20" s="54" t="s">
        <v>2175</v>
      </c>
      <c r="Q20" s="54" t="s">
        <v>237</v>
      </c>
      <c r="R20" s="58" t="s">
        <v>238</v>
      </c>
      <c r="S20" s="54" t="s">
        <v>98</v>
      </c>
    </row>
    <row r="21" customFormat="false" ht="35.05" hidden="false" customHeight="false" outlineLevel="0" collapsed="false">
      <c r="A21" s="51" t="s">
        <v>2176</v>
      </c>
      <c r="B21" s="51" t="n">
        <v>17</v>
      </c>
      <c r="C21" s="52" t="s">
        <v>2177</v>
      </c>
      <c r="D21" s="53" t="s">
        <v>2178</v>
      </c>
      <c r="E21" s="54" t="s">
        <v>2179</v>
      </c>
      <c r="F21" s="54" t="s">
        <v>2029</v>
      </c>
      <c r="G21" s="54" t="s">
        <v>2180</v>
      </c>
      <c r="H21" s="54" t="s">
        <v>2181</v>
      </c>
      <c r="I21" s="53" t="s">
        <v>2182</v>
      </c>
      <c r="J21" s="54" t="s">
        <v>2183</v>
      </c>
      <c r="K21" s="53" t="s">
        <v>2184</v>
      </c>
      <c r="L21" s="55" t="s">
        <v>8</v>
      </c>
      <c r="M21" s="64" t="n">
        <v>3</v>
      </c>
      <c r="N21" s="65" t="s">
        <v>2035</v>
      </c>
      <c r="O21" s="59" t="s">
        <v>161</v>
      </c>
      <c r="P21" s="54" t="s">
        <v>2185</v>
      </c>
      <c r="Q21" s="54" t="s">
        <v>516</v>
      </c>
      <c r="R21" s="58" t="s">
        <v>517</v>
      </c>
      <c r="S21" s="54" t="s">
        <v>98</v>
      </c>
    </row>
    <row r="22" customFormat="false" ht="46.25" hidden="false" customHeight="false" outlineLevel="0" collapsed="false">
      <c r="A22" s="51" t="s">
        <v>2186</v>
      </c>
      <c r="B22" s="51" t="n">
        <v>18</v>
      </c>
      <c r="C22" s="52" t="s">
        <v>2187</v>
      </c>
      <c r="D22" s="53" t="s">
        <v>2188</v>
      </c>
      <c r="E22" s="54" t="s">
        <v>2189</v>
      </c>
      <c r="F22" s="54" t="s">
        <v>548</v>
      </c>
      <c r="G22" s="54" t="s">
        <v>2190</v>
      </c>
      <c r="H22" s="54" t="s">
        <v>2191</v>
      </c>
      <c r="I22" s="53" t="s">
        <v>2192</v>
      </c>
      <c r="J22" s="54" t="s">
        <v>2193</v>
      </c>
      <c r="K22" s="53" t="s">
        <v>2194</v>
      </c>
      <c r="L22" s="55" t="s">
        <v>8</v>
      </c>
      <c r="M22" s="64" t="n">
        <v>3</v>
      </c>
      <c r="N22" s="65" t="s">
        <v>2035</v>
      </c>
      <c r="O22" s="51" t="s">
        <v>95</v>
      </c>
      <c r="P22" s="54"/>
      <c r="Q22" s="54" t="s">
        <v>109</v>
      </c>
      <c r="R22" s="58" t="s">
        <v>110</v>
      </c>
      <c r="S22" s="54" t="s">
        <v>98</v>
      </c>
    </row>
    <row r="23" customFormat="false" ht="35.05" hidden="false" customHeight="false" outlineLevel="0" collapsed="false">
      <c r="A23" s="51" t="s">
        <v>2195</v>
      </c>
      <c r="B23" s="51" t="n">
        <v>19</v>
      </c>
      <c r="C23" s="52" t="s">
        <v>2196</v>
      </c>
      <c r="D23" s="53" t="s">
        <v>2197</v>
      </c>
      <c r="E23" s="54" t="s">
        <v>2198</v>
      </c>
      <c r="F23" s="54" t="s">
        <v>548</v>
      </c>
      <c r="G23" s="54" t="s">
        <v>2199</v>
      </c>
      <c r="H23" s="54" t="s">
        <v>2200</v>
      </c>
      <c r="I23" s="53" t="s">
        <v>2201</v>
      </c>
      <c r="J23" s="54" t="s">
        <v>2202</v>
      </c>
      <c r="K23" s="53" t="s">
        <v>2203</v>
      </c>
      <c r="L23" s="55" t="s">
        <v>8</v>
      </c>
      <c r="M23" s="64" t="n">
        <v>3</v>
      </c>
      <c r="N23" s="65" t="s">
        <v>2035</v>
      </c>
      <c r="O23" s="59" t="s">
        <v>161</v>
      </c>
      <c r="P23" s="54" t="s">
        <v>2204</v>
      </c>
      <c r="Q23" s="54" t="s">
        <v>96</v>
      </c>
      <c r="R23" s="58" t="s">
        <v>97</v>
      </c>
      <c r="S23" s="54" t="s">
        <v>98</v>
      </c>
    </row>
    <row r="24" customFormat="false" ht="46.25" hidden="false" customHeight="false" outlineLevel="0" collapsed="false">
      <c r="A24" s="51" t="s">
        <v>2205</v>
      </c>
      <c r="B24" s="51" t="n">
        <v>20</v>
      </c>
      <c r="C24" s="52" t="s">
        <v>2206</v>
      </c>
      <c r="D24" s="53" t="s">
        <v>2207</v>
      </c>
      <c r="E24" s="54" t="s">
        <v>2208</v>
      </c>
      <c r="F24" s="54" t="s">
        <v>548</v>
      </c>
      <c r="G24" s="54" t="s">
        <v>2209</v>
      </c>
      <c r="H24" s="54" t="s">
        <v>2210</v>
      </c>
      <c r="I24" s="53" t="s">
        <v>2211</v>
      </c>
      <c r="J24" s="54" t="s">
        <v>2212</v>
      </c>
      <c r="K24" s="53" t="s">
        <v>2213</v>
      </c>
      <c r="L24" s="55" t="s">
        <v>8</v>
      </c>
      <c r="M24" s="64" t="n">
        <v>3</v>
      </c>
      <c r="N24" s="65" t="s">
        <v>2035</v>
      </c>
      <c r="O24" s="51" t="s">
        <v>95</v>
      </c>
      <c r="P24" s="54"/>
      <c r="Q24" s="54" t="s">
        <v>109</v>
      </c>
      <c r="R24" s="58" t="s">
        <v>110</v>
      </c>
      <c r="S24" s="54" t="s">
        <v>98</v>
      </c>
    </row>
    <row r="25" customFormat="false" ht="35.05" hidden="false" customHeight="false" outlineLevel="0" collapsed="false">
      <c r="A25" s="51" t="s">
        <v>2214</v>
      </c>
      <c r="B25" s="51" t="n">
        <v>21</v>
      </c>
      <c r="C25" s="52" t="s">
        <v>2215</v>
      </c>
      <c r="D25" s="53" t="s">
        <v>2216</v>
      </c>
      <c r="E25" s="54" t="s">
        <v>2217</v>
      </c>
      <c r="F25" s="54" t="s">
        <v>548</v>
      </c>
      <c r="G25" s="54" t="s">
        <v>2218</v>
      </c>
      <c r="H25" s="54" t="s">
        <v>2219</v>
      </c>
      <c r="I25" s="53" t="s">
        <v>2220</v>
      </c>
      <c r="J25" s="54" t="s">
        <v>2221</v>
      </c>
      <c r="K25" s="53" t="s">
        <v>2222</v>
      </c>
      <c r="L25" s="60" t="s">
        <v>9</v>
      </c>
      <c r="M25" s="64" t="n">
        <v>3</v>
      </c>
      <c r="N25" s="65" t="s">
        <v>2035</v>
      </c>
      <c r="O25" s="51" t="s">
        <v>95</v>
      </c>
      <c r="P25" s="54"/>
      <c r="Q25" s="54" t="s">
        <v>96</v>
      </c>
      <c r="R25" s="58" t="s">
        <v>97</v>
      </c>
      <c r="S25" s="54" t="s">
        <v>98</v>
      </c>
    </row>
    <row r="26" customFormat="false" ht="35.05" hidden="false" customHeight="false" outlineLevel="0" collapsed="false">
      <c r="A26" s="51" t="s">
        <v>2223</v>
      </c>
      <c r="B26" s="51" t="n">
        <v>22</v>
      </c>
      <c r="C26" s="52" t="s">
        <v>2224</v>
      </c>
      <c r="D26" s="53" t="s">
        <v>2225</v>
      </c>
      <c r="E26" s="54" t="s">
        <v>2226</v>
      </c>
      <c r="F26" s="54" t="s">
        <v>548</v>
      </c>
      <c r="G26" s="54" t="s">
        <v>2227</v>
      </c>
      <c r="H26" s="54" t="s">
        <v>2228</v>
      </c>
      <c r="I26" s="53" t="s">
        <v>2229</v>
      </c>
      <c r="J26" s="54" t="s">
        <v>2230</v>
      </c>
      <c r="K26" s="53" t="s">
        <v>2231</v>
      </c>
      <c r="L26" s="60" t="s">
        <v>9</v>
      </c>
      <c r="M26" s="64" t="n">
        <v>3</v>
      </c>
      <c r="N26" s="65" t="s">
        <v>2035</v>
      </c>
      <c r="O26" s="59" t="s">
        <v>161</v>
      </c>
      <c r="P26" s="54" t="s">
        <v>2204</v>
      </c>
      <c r="Q26" s="54" t="s">
        <v>96</v>
      </c>
      <c r="R26" s="58" t="s">
        <v>97</v>
      </c>
      <c r="S26" s="54" t="s">
        <v>98</v>
      </c>
    </row>
    <row r="27" customFormat="false" ht="46.25" hidden="false" customHeight="false" outlineLevel="0" collapsed="false">
      <c r="A27" s="51" t="s">
        <v>2232</v>
      </c>
      <c r="B27" s="51" t="n">
        <v>23</v>
      </c>
      <c r="C27" s="52" t="s">
        <v>2233</v>
      </c>
      <c r="D27" s="53" t="s">
        <v>2234</v>
      </c>
      <c r="E27" s="54" t="s">
        <v>2235</v>
      </c>
      <c r="F27" s="54" t="s">
        <v>125</v>
      </c>
      <c r="G27" s="54" t="s">
        <v>2236</v>
      </c>
      <c r="H27" s="54" t="s">
        <v>2237</v>
      </c>
      <c r="I27" s="53" t="s">
        <v>2238</v>
      </c>
      <c r="J27" s="54" t="s">
        <v>2239</v>
      </c>
      <c r="K27" s="53" t="s">
        <v>2240</v>
      </c>
      <c r="L27" s="60" t="s">
        <v>9</v>
      </c>
      <c r="M27" s="64" t="n">
        <v>3</v>
      </c>
      <c r="N27" s="65" t="s">
        <v>2035</v>
      </c>
      <c r="O27" s="51" t="s">
        <v>95</v>
      </c>
      <c r="P27" s="54"/>
      <c r="Q27" s="54" t="s">
        <v>621</v>
      </c>
      <c r="R27" s="58" t="s">
        <v>622</v>
      </c>
      <c r="S27" s="54" t="s">
        <v>98</v>
      </c>
    </row>
    <row r="28" customFormat="false" ht="35.05" hidden="false" customHeight="false" outlineLevel="0" collapsed="false">
      <c r="A28" s="51" t="s">
        <v>2241</v>
      </c>
      <c r="B28" s="51" t="n">
        <v>24</v>
      </c>
      <c r="C28" s="52" t="s">
        <v>2242</v>
      </c>
      <c r="D28" s="53" t="s">
        <v>2243</v>
      </c>
      <c r="E28" s="54" t="s">
        <v>2244</v>
      </c>
      <c r="F28" s="54" t="s">
        <v>2029</v>
      </c>
      <c r="G28" s="54" t="s">
        <v>2245</v>
      </c>
      <c r="H28" s="54" t="s">
        <v>2246</v>
      </c>
      <c r="I28" s="53" t="s">
        <v>2247</v>
      </c>
      <c r="J28" s="54" t="s">
        <v>2248</v>
      </c>
      <c r="K28" s="53" t="s">
        <v>2249</v>
      </c>
      <c r="L28" s="60" t="s">
        <v>9</v>
      </c>
      <c r="M28" s="64" t="n">
        <v>3</v>
      </c>
      <c r="N28" s="65" t="s">
        <v>2035</v>
      </c>
      <c r="O28" s="51" t="s">
        <v>95</v>
      </c>
      <c r="P28" s="54"/>
      <c r="Q28" s="54" t="s">
        <v>516</v>
      </c>
      <c r="R28" s="58" t="s">
        <v>517</v>
      </c>
      <c r="S28" s="54" t="s">
        <v>98</v>
      </c>
    </row>
    <row r="29" customFormat="false" ht="35.05" hidden="false" customHeight="false" outlineLevel="0" collapsed="false">
      <c r="A29" s="51" t="s">
        <v>2250</v>
      </c>
      <c r="B29" s="51" t="n">
        <v>25</v>
      </c>
      <c r="C29" s="52" t="s">
        <v>2251</v>
      </c>
      <c r="D29" s="53" t="s">
        <v>2252</v>
      </c>
      <c r="E29" s="54" t="s">
        <v>2253</v>
      </c>
      <c r="F29" s="54" t="s">
        <v>125</v>
      </c>
      <c r="G29" s="54" t="s">
        <v>2254</v>
      </c>
      <c r="H29" s="54" t="s">
        <v>2255</v>
      </c>
      <c r="I29" s="53" t="s">
        <v>2256</v>
      </c>
      <c r="J29" s="54" t="s">
        <v>2257</v>
      </c>
      <c r="K29" s="53" t="s">
        <v>2258</v>
      </c>
      <c r="L29" s="60" t="s">
        <v>9</v>
      </c>
      <c r="M29" s="64" t="n">
        <v>3</v>
      </c>
      <c r="N29" s="65" t="s">
        <v>2035</v>
      </c>
      <c r="O29" s="51" t="s">
        <v>95</v>
      </c>
      <c r="P29" s="54"/>
      <c r="Q29" s="54" t="s">
        <v>131</v>
      </c>
      <c r="R29" s="58" t="s">
        <v>132</v>
      </c>
      <c r="S29" s="54" t="s">
        <v>98</v>
      </c>
    </row>
    <row r="30" customFormat="false" ht="35.05" hidden="false" customHeight="false" outlineLevel="0" collapsed="false">
      <c r="A30" s="51" t="s">
        <v>2259</v>
      </c>
      <c r="B30" s="51" t="n">
        <v>26</v>
      </c>
      <c r="C30" s="52" t="s">
        <v>2260</v>
      </c>
      <c r="D30" s="53" t="s">
        <v>2261</v>
      </c>
      <c r="E30" s="54" t="s">
        <v>2262</v>
      </c>
      <c r="F30" s="54" t="s">
        <v>125</v>
      </c>
      <c r="G30" s="54" t="s">
        <v>2263</v>
      </c>
      <c r="H30" s="54" t="s">
        <v>2264</v>
      </c>
      <c r="I30" s="53" t="s">
        <v>2265</v>
      </c>
      <c r="J30" s="54" t="s">
        <v>2266</v>
      </c>
      <c r="K30" s="53" t="s">
        <v>2267</v>
      </c>
      <c r="L30" s="60" t="s">
        <v>9</v>
      </c>
      <c r="M30" s="64" t="n">
        <v>3</v>
      </c>
      <c r="N30" s="65" t="s">
        <v>2035</v>
      </c>
      <c r="O30" s="59" t="s">
        <v>161</v>
      </c>
      <c r="P30" s="54" t="s">
        <v>2268</v>
      </c>
      <c r="Q30" s="54" t="s">
        <v>131</v>
      </c>
      <c r="R30" s="58" t="s">
        <v>132</v>
      </c>
      <c r="S30" s="54" t="s">
        <v>98</v>
      </c>
    </row>
    <row r="31" customFormat="false" ht="35.05" hidden="false" customHeight="false" outlineLevel="0" collapsed="false">
      <c r="A31" s="51" t="s">
        <v>2269</v>
      </c>
      <c r="B31" s="51" t="n">
        <v>27</v>
      </c>
      <c r="C31" s="52" t="s">
        <v>2270</v>
      </c>
      <c r="D31" s="53" t="s">
        <v>2271</v>
      </c>
      <c r="E31" s="54" t="s">
        <v>2272</v>
      </c>
      <c r="F31" s="54" t="s">
        <v>2029</v>
      </c>
      <c r="G31" s="54" t="s">
        <v>2273</v>
      </c>
      <c r="H31" s="54" t="s">
        <v>2274</v>
      </c>
      <c r="I31" s="53" t="s">
        <v>2275</v>
      </c>
      <c r="J31" s="54" t="s">
        <v>2276</v>
      </c>
      <c r="K31" s="53" t="s">
        <v>2277</v>
      </c>
      <c r="L31" s="60" t="s">
        <v>9</v>
      </c>
      <c r="M31" s="64" t="n">
        <v>3</v>
      </c>
      <c r="N31" s="65" t="s">
        <v>2035</v>
      </c>
      <c r="O31" s="51" t="s">
        <v>95</v>
      </c>
      <c r="P31" s="54"/>
      <c r="Q31" s="54" t="s">
        <v>131</v>
      </c>
      <c r="R31" s="58" t="s">
        <v>132</v>
      </c>
      <c r="S31" s="54" t="s">
        <v>98</v>
      </c>
    </row>
    <row r="32" customFormat="false" ht="35.05" hidden="false" customHeight="false" outlineLevel="0" collapsed="false">
      <c r="A32" s="51" t="s">
        <v>2278</v>
      </c>
      <c r="B32" s="51" t="n">
        <v>28</v>
      </c>
      <c r="C32" s="52" t="s">
        <v>2279</v>
      </c>
      <c r="D32" s="53" t="s">
        <v>2280</v>
      </c>
      <c r="E32" s="54" t="s">
        <v>2281</v>
      </c>
      <c r="F32" s="54" t="s">
        <v>249</v>
      </c>
      <c r="G32" s="54" t="s">
        <v>2282</v>
      </c>
      <c r="H32" s="54" t="s">
        <v>2283</v>
      </c>
      <c r="I32" s="53" t="s">
        <v>2284</v>
      </c>
      <c r="J32" s="54" t="s">
        <v>2285</v>
      </c>
      <c r="K32" s="53" t="s">
        <v>2286</v>
      </c>
      <c r="L32" s="60" t="s">
        <v>9</v>
      </c>
      <c r="M32" s="64" t="n">
        <v>3</v>
      </c>
      <c r="N32" s="65" t="s">
        <v>2035</v>
      </c>
      <c r="O32" s="59" t="s">
        <v>161</v>
      </c>
      <c r="P32" s="54" t="s">
        <v>2147</v>
      </c>
      <c r="Q32" s="54" t="s">
        <v>516</v>
      </c>
      <c r="R32" s="58" t="s">
        <v>517</v>
      </c>
      <c r="S32" s="54" t="s">
        <v>98</v>
      </c>
    </row>
    <row r="33" customFormat="false" ht="35.05" hidden="false" customHeight="false" outlineLevel="0" collapsed="false">
      <c r="A33" s="51" t="s">
        <v>2287</v>
      </c>
      <c r="B33" s="51" t="n">
        <v>29</v>
      </c>
      <c r="C33" s="52" t="s">
        <v>2288</v>
      </c>
      <c r="D33" s="53" t="s">
        <v>2289</v>
      </c>
      <c r="E33" s="54" t="s">
        <v>2290</v>
      </c>
      <c r="F33" s="54" t="s">
        <v>548</v>
      </c>
      <c r="G33" s="54" t="s">
        <v>2291</v>
      </c>
      <c r="H33" s="54" t="s">
        <v>2292</v>
      </c>
      <c r="I33" s="53" t="s">
        <v>2293</v>
      </c>
      <c r="J33" s="54" t="s">
        <v>2294</v>
      </c>
      <c r="K33" s="53" t="s">
        <v>2295</v>
      </c>
      <c r="L33" s="60" t="s">
        <v>9</v>
      </c>
      <c r="M33" s="64" t="n">
        <v>3</v>
      </c>
      <c r="N33" s="65" t="s">
        <v>2035</v>
      </c>
      <c r="O33" s="51" t="s">
        <v>95</v>
      </c>
      <c r="P33" s="54"/>
      <c r="Q33" s="54" t="s">
        <v>96</v>
      </c>
      <c r="R33" s="58" t="s">
        <v>97</v>
      </c>
      <c r="S33" s="54" t="s">
        <v>98</v>
      </c>
    </row>
    <row r="34" customFormat="false" ht="35.05" hidden="false" customHeight="false" outlineLevel="0" collapsed="false">
      <c r="A34" s="51" t="s">
        <v>2296</v>
      </c>
      <c r="B34" s="51" t="n">
        <v>30</v>
      </c>
      <c r="C34" s="52" t="s">
        <v>2297</v>
      </c>
      <c r="D34" s="53" t="s">
        <v>2298</v>
      </c>
      <c r="E34" s="54" t="s">
        <v>2299</v>
      </c>
      <c r="F34" s="54" t="s">
        <v>548</v>
      </c>
      <c r="G34" s="54" t="s">
        <v>2300</v>
      </c>
      <c r="H34" s="54" t="s">
        <v>2301</v>
      </c>
      <c r="I34" s="53" t="s">
        <v>2302</v>
      </c>
      <c r="J34" s="54" t="s">
        <v>2303</v>
      </c>
      <c r="K34" s="53" t="s">
        <v>2304</v>
      </c>
      <c r="L34" s="60" t="s">
        <v>9</v>
      </c>
      <c r="M34" s="64" t="n">
        <v>3</v>
      </c>
      <c r="N34" s="65" t="s">
        <v>2035</v>
      </c>
      <c r="O34" s="51" t="s">
        <v>95</v>
      </c>
      <c r="P34" s="54"/>
      <c r="Q34" s="54" t="s">
        <v>131</v>
      </c>
      <c r="R34" s="58" t="s">
        <v>132</v>
      </c>
      <c r="S34" s="54" t="s">
        <v>98</v>
      </c>
    </row>
    <row r="35" customFormat="false" ht="46.25" hidden="false" customHeight="false" outlineLevel="0" collapsed="false">
      <c r="A35" s="51" t="s">
        <v>2305</v>
      </c>
      <c r="B35" s="51" t="n">
        <v>31</v>
      </c>
      <c r="C35" s="52" t="s">
        <v>2306</v>
      </c>
      <c r="D35" s="53" t="s">
        <v>2307</v>
      </c>
      <c r="E35" s="54" t="s">
        <v>2308</v>
      </c>
      <c r="F35" s="54" t="s">
        <v>823</v>
      </c>
      <c r="G35" s="54" t="s">
        <v>2309</v>
      </c>
      <c r="H35" s="54" t="s">
        <v>2310</v>
      </c>
      <c r="I35" s="53" t="s">
        <v>2311</v>
      </c>
      <c r="J35" s="54" t="s">
        <v>2312</v>
      </c>
      <c r="K35" s="53" t="s">
        <v>2313</v>
      </c>
      <c r="L35" s="60" t="s">
        <v>9</v>
      </c>
      <c r="M35" s="64" t="n">
        <v>3</v>
      </c>
      <c r="N35" s="65" t="s">
        <v>2035</v>
      </c>
      <c r="O35" s="51" t="s">
        <v>95</v>
      </c>
      <c r="P35" s="54"/>
      <c r="Q35" s="54" t="s">
        <v>109</v>
      </c>
      <c r="R35" s="58" t="s">
        <v>110</v>
      </c>
      <c r="S35" s="54" t="s">
        <v>98</v>
      </c>
    </row>
    <row r="36" customFormat="false" ht="35.05" hidden="false" customHeight="false" outlineLevel="0" collapsed="false">
      <c r="A36" s="51" t="s">
        <v>2314</v>
      </c>
      <c r="B36" s="51" t="n">
        <v>32</v>
      </c>
      <c r="C36" s="52" t="s">
        <v>2315</v>
      </c>
      <c r="D36" s="53" t="s">
        <v>2316</v>
      </c>
      <c r="E36" s="54" t="s">
        <v>2317</v>
      </c>
      <c r="F36" s="54" t="s">
        <v>548</v>
      </c>
      <c r="G36" s="54" t="s">
        <v>2318</v>
      </c>
      <c r="H36" s="54" t="s">
        <v>2319</v>
      </c>
      <c r="I36" s="53" t="s">
        <v>2320</v>
      </c>
      <c r="J36" s="54" t="s">
        <v>2321</v>
      </c>
      <c r="K36" s="53" t="s">
        <v>2322</v>
      </c>
      <c r="L36" s="60" t="s">
        <v>9</v>
      </c>
      <c r="M36" s="64" t="n">
        <v>3</v>
      </c>
      <c r="N36" s="65" t="s">
        <v>2035</v>
      </c>
      <c r="O36" s="51" t="s">
        <v>95</v>
      </c>
      <c r="P36" s="54"/>
      <c r="Q36" s="54" t="s">
        <v>131</v>
      </c>
      <c r="R36" s="58" t="s">
        <v>132</v>
      </c>
      <c r="S36" s="54" t="s">
        <v>98</v>
      </c>
    </row>
    <row r="37" customFormat="false" ht="35.05" hidden="false" customHeight="false" outlineLevel="0" collapsed="false">
      <c r="A37" s="51" t="s">
        <v>2323</v>
      </c>
      <c r="B37" s="51" t="n">
        <v>33</v>
      </c>
      <c r="C37" s="52" t="s">
        <v>2324</v>
      </c>
      <c r="D37" s="53" t="s">
        <v>2325</v>
      </c>
      <c r="E37" s="54" t="s">
        <v>2326</v>
      </c>
      <c r="F37" s="54" t="s">
        <v>548</v>
      </c>
      <c r="G37" s="54" t="s">
        <v>2327</v>
      </c>
      <c r="H37" s="54" t="s">
        <v>2328</v>
      </c>
      <c r="I37" s="53" t="s">
        <v>2329</v>
      </c>
      <c r="J37" s="54" t="s">
        <v>2330</v>
      </c>
      <c r="K37" s="53" t="s">
        <v>2331</v>
      </c>
      <c r="L37" s="60" t="s">
        <v>9</v>
      </c>
      <c r="M37" s="64" t="n">
        <v>3</v>
      </c>
      <c r="N37" s="65" t="s">
        <v>2035</v>
      </c>
      <c r="O37" s="51" t="s">
        <v>95</v>
      </c>
      <c r="P37" s="54"/>
      <c r="Q37" s="54" t="s">
        <v>516</v>
      </c>
      <c r="R37" s="58" t="s">
        <v>517</v>
      </c>
      <c r="S37" s="54" t="s">
        <v>98</v>
      </c>
    </row>
    <row r="38" customFormat="false" ht="35.05" hidden="false" customHeight="false" outlineLevel="0" collapsed="false">
      <c r="A38" s="51" t="s">
        <v>2332</v>
      </c>
      <c r="B38" s="51" t="n">
        <v>34</v>
      </c>
      <c r="C38" s="52" t="s">
        <v>2333</v>
      </c>
      <c r="D38" s="53" t="s">
        <v>2334</v>
      </c>
      <c r="E38" s="54" t="s">
        <v>2335</v>
      </c>
      <c r="F38" s="54" t="s">
        <v>548</v>
      </c>
      <c r="G38" s="54" t="s">
        <v>2336</v>
      </c>
      <c r="H38" s="54" t="s">
        <v>2337</v>
      </c>
      <c r="I38" s="53" t="s">
        <v>2338</v>
      </c>
      <c r="J38" s="54" t="s">
        <v>2339</v>
      </c>
      <c r="K38" s="53" t="s">
        <v>2340</v>
      </c>
      <c r="L38" s="60" t="s">
        <v>9</v>
      </c>
      <c r="M38" s="64" t="n">
        <v>3</v>
      </c>
      <c r="N38" s="65" t="s">
        <v>2035</v>
      </c>
      <c r="O38" s="51" t="s">
        <v>95</v>
      </c>
      <c r="P38" s="54"/>
      <c r="Q38" s="54" t="s">
        <v>516</v>
      </c>
      <c r="R38" s="58" t="s">
        <v>517</v>
      </c>
      <c r="S38" s="54" t="s">
        <v>98</v>
      </c>
    </row>
    <row r="39" customFormat="false" ht="35.05" hidden="false" customHeight="false" outlineLevel="0" collapsed="false">
      <c r="A39" s="51" t="s">
        <v>2341</v>
      </c>
      <c r="B39" s="51" t="n">
        <v>35</v>
      </c>
      <c r="C39" s="52" t="s">
        <v>2342</v>
      </c>
      <c r="D39" s="53" t="s">
        <v>2343</v>
      </c>
      <c r="E39" s="54" t="s">
        <v>2344</v>
      </c>
      <c r="F39" s="54" t="s">
        <v>2345</v>
      </c>
      <c r="G39" s="54" t="s">
        <v>2346</v>
      </c>
      <c r="H39" s="54" t="s">
        <v>2347</v>
      </c>
      <c r="I39" s="53" t="s">
        <v>2348</v>
      </c>
      <c r="J39" s="54" t="s">
        <v>2349</v>
      </c>
      <c r="K39" s="53" t="s">
        <v>2350</v>
      </c>
      <c r="L39" s="60" t="s">
        <v>9</v>
      </c>
      <c r="M39" s="64" t="n">
        <v>3</v>
      </c>
      <c r="N39" s="65" t="s">
        <v>2035</v>
      </c>
      <c r="O39" s="51" t="s">
        <v>95</v>
      </c>
      <c r="P39" s="54"/>
      <c r="Q39" s="54" t="s">
        <v>516</v>
      </c>
      <c r="R39" s="58" t="s">
        <v>517</v>
      </c>
      <c r="S39" s="54" t="s">
        <v>98</v>
      </c>
    </row>
    <row r="40" customFormat="false" ht="35.05" hidden="false" customHeight="false" outlineLevel="0" collapsed="false">
      <c r="A40" s="51" t="s">
        <v>2351</v>
      </c>
      <c r="B40" s="51" t="n">
        <v>36</v>
      </c>
      <c r="C40" s="52" t="s">
        <v>2352</v>
      </c>
      <c r="D40" s="53" t="s">
        <v>2353</v>
      </c>
      <c r="E40" s="54" t="s">
        <v>2354</v>
      </c>
      <c r="F40" s="54" t="s">
        <v>2345</v>
      </c>
      <c r="G40" s="54" t="s">
        <v>2355</v>
      </c>
      <c r="H40" s="54" t="s">
        <v>2356</v>
      </c>
      <c r="I40" s="53" t="s">
        <v>2357</v>
      </c>
      <c r="J40" s="54" t="s">
        <v>2358</v>
      </c>
      <c r="K40" s="53" t="s">
        <v>2359</v>
      </c>
      <c r="L40" s="60" t="s">
        <v>9</v>
      </c>
      <c r="M40" s="64" t="n">
        <v>3</v>
      </c>
      <c r="N40" s="65" t="s">
        <v>2035</v>
      </c>
      <c r="O40" s="51" t="s">
        <v>95</v>
      </c>
      <c r="P40" s="54"/>
      <c r="Q40" s="54" t="s">
        <v>96</v>
      </c>
      <c r="R40" s="58" t="s">
        <v>97</v>
      </c>
      <c r="S40" s="54" t="s">
        <v>98</v>
      </c>
    </row>
    <row r="41" customFormat="false" ht="35.05" hidden="false" customHeight="false" outlineLevel="0" collapsed="false">
      <c r="A41" s="51" t="s">
        <v>2360</v>
      </c>
      <c r="B41" s="51" t="n">
        <v>37</v>
      </c>
      <c r="C41" s="52" t="s">
        <v>2361</v>
      </c>
      <c r="D41" s="53" t="s">
        <v>2362</v>
      </c>
      <c r="E41" s="54" t="s">
        <v>2363</v>
      </c>
      <c r="F41" s="54" t="s">
        <v>2029</v>
      </c>
      <c r="G41" s="54" t="s">
        <v>2364</v>
      </c>
      <c r="H41" s="54" t="s">
        <v>2365</v>
      </c>
      <c r="I41" s="53" t="s">
        <v>2366</v>
      </c>
      <c r="J41" s="54" t="s">
        <v>2367</v>
      </c>
      <c r="K41" s="53" t="s">
        <v>2368</v>
      </c>
      <c r="L41" s="60" t="s">
        <v>9</v>
      </c>
      <c r="M41" s="64" t="n">
        <v>3</v>
      </c>
      <c r="N41" s="65" t="s">
        <v>2035</v>
      </c>
      <c r="O41" s="59" t="s">
        <v>161</v>
      </c>
      <c r="P41" s="54" t="s">
        <v>2185</v>
      </c>
      <c r="Q41" s="54" t="s">
        <v>516</v>
      </c>
      <c r="R41" s="58" t="s">
        <v>517</v>
      </c>
      <c r="S41" s="54" t="s">
        <v>98</v>
      </c>
    </row>
    <row r="42" customFormat="false" ht="35.05" hidden="false" customHeight="false" outlineLevel="0" collapsed="false">
      <c r="A42" s="51" t="s">
        <v>2369</v>
      </c>
      <c r="B42" s="51" t="n">
        <v>38</v>
      </c>
      <c r="C42" s="52" t="s">
        <v>2370</v>
      </c>
      <c r="D42" s="53" t="s">
        <v>2371</v>
      </c>
      <c r="E42" s="54" t="s">
        <v>2372</v>
      </c>
      <c r="F42" s="54" t="s">
        <v>2029</v>
      </c>
      <c r="G42" s="54" t="s">
        <v>2373</v>
      </c>
      <c r="H42" s="54" t="s">
        <v>2374</v>
      </c>
      <c r="I42" s="53" t="s">
        <v>2375</v>
      </c>
      <c r="J42" s="54" t="s">
        <v>2376</v>
      </c>
      <c r="K42" s="53" t="s">
        <v>2377</v>
      </c>
      <c r="L42" s="60" t="s">
        <v>9</v>
      </c>
      <c r="M42" s="64" t="n">
        <v>3</v>
      </c>
      <c r="N42" s="65" t="s">
        <v>2035</v>
      </c>
      <c r="O42" s="51" t="s">
        <v>95</v>
      </c>
      <c r="P42" s="54"/>
      <c r="Q42" s="54" t="s">
        <v>96</v>
      </c>
      <c r="R42" s="58" t="s">
        <v>97</v>
      </c>
      <c r="S42" s="54" t="s">
        <v>98</v>
      </c>
    </row>
    <row r="43" customFormat="false" ht="35.05" hidden="false" customHeight="false" outlineLevel="0" collapsed="false">
      <c r="A43" s="51" t="s">
        <v>2378</v>
      </c>
      <c r="B43" s="51" t="n">
        <v>39</v>
      </c>
      <c r="C43" s="52" t="s">
        <v>2379</v>
      </c>
      <c r="D43" s="53" t="s">
        <v>2380</v>
      </c>
      <c r="E43" s="54" t="s">
        <v>2381</v>
      </c>
      <c r="F43" s="54" t="s">
        <v>548</v>
      </c>
      <c r="G43" s="54" t="s">
        <v>2382</v>
      </c>
      <c r="H43" s="54" t="s">
        <v>2383</v>
      </c>
      <c r="I43" s="53" t="s">
        <v>2384</v>
      </c>
      <c r="J43" s="54" t="s">
        <v>2385</v>
      </c>
      <c r="K43" s="53" t="s">
        <v>2386</v>
      </c>
      <c r="L43" s="60" t="s">
        <v>9</v>
      </c>
      <c r="M43" s="64" t="n">
        <v>3</v>
      </c>
      <c r="N43" s="65" t="s">
        <v>2035</v>
      </c>
      <c r="O43" s="51" t="s">
        <v>95</v>
      </c>
      <c r="P43" s="54"/>
      <c r="Q43" s="54" t="s">
        <v>131</v>
      </c>
      <c r="R43" s="58" t="s">
        <v>132</v>
      </c>
      <c r="S43" s="54" t="s">
        <v>98</v>
      </c>
    </row>
    <row r="44" customFormat="false" ht="35.05" hidden="false" customHeight="false" outlineLevel="0" collapsed="false">
      <c r="A44" s="51" t="s">
        <v>2387</v>
      </c>
      <c r="B44" s="51" t="n">
        <v>40</v>
      </c>
      <c r="C44" s="52" t="s">
        <v>2388</v>
      </c>
      <c r="D44" s="53" t="s">
        <v>2389</v>
      </c>
      <c r="E44" s="54" t="s">
        <v>2390</v>
      </c>
      <c r="F44" s="54" t="s">
        <v>289</v>
      </c>
      <c r="G44" s="54" t="s">
        <v>2391</v>
      </c>
      <c r="H44" s="54" t="s">
        <v>2392</v>
      </c>
      <c r="I44" s="53" t="s">
        <v>2393</v>
      </c>
      <c r="J44" s="54" t="s">
        <v>2394</v>
      </c>
      <c r="K44" s="53" t="s">
        <v>2395</v>
      </c>
      <c r="L44" s="60" t="s">
        <v>9</v>
      </c>
      <c r="M44" s="64" t="n">
        <v>3</v>
      </c>
      <c r="N44" s="65" t="s">
        <v>2035</v>
      </c>
      <c r="O44" s="51" t="s">
        <v>95</v>
      </c>
      <c r="P44" s="54"/>
      <c r="Q44" s="54" t="s">
        <v>516</v>
      </c>
      <c r="R44" s="58" t="s">
        <v>517</v>
      </c>
      <c r="S44" s="54" t="s">
        <v>98</v>
      </c>
    </row>
    <row r="45" customFormat="false" ht="35.05" hidden="false" customHeight="false" outlineLevel="0" collapsed="false">
      <c r="A45" s="51" t="s">
        <v>2396</v>
      </c>
      <c r="B45" s="51" t="n">
        <v>41</v>
      </c>
      <c r="C45" s="52" t="s">
        <v>2397</v>
      </c>
      <c r="D45" s="53" t="s">
        <v>2398</v>
      </c>
      <c r="E45" s="54" t="s">
        <v>2399</v>
      </c>
      <c r="F45" s="54" t="s">
        <v>548</v>
      </c>
      <c r="G45" s="54" t="s">
        <v>2400</v>
      </c>
      <c r="H45" s="54" t="s">
        <v>2401</v>
      </c>
      <c r="I45" s="53" t="s">
        <v>2402</v>
      </c>
      <c r="J45" s="54" t="s">
        <v>2403</v>
      </c>
      <c r="K45" s="53" t="s">
        <v>2404</v>
      </c>
      <c r="L45" s="60" t="s">
        <v>9</v>
      </c>
      <c r="M45" s="64" t="n">
        <v>3</v>
      </c>
      <c r="N45" s="65" t="s">
        <v>2035</v>
      </c>
      <c r="O45" s="51" t="s">
        <v>95</v>
      </c>
      <c r="P45" s="54"/>
      <c r="Q45" s="54" t="s">
        <v>131</v>
      </c>
      <c r="R45" s="58" t="s">
        <v>132</v>
      </c>
      <c r="S45" s="54" t="s">
        <v>98</v>
      </c>
    </row>
    <row r="46" customFormat="false" ht="35.05" hidden="false" customHeight="false" outlineLevel="0" collapsed="false">
      <c r="A46" s="51" t="s">
        <v>2405</v>
      </c>
      <c r="B46" s="51" t="n">
        <v>42</v>
      </c>
      <c r="C46" s="52" t="s">
        <v>2406</v>
      </c>
      <c r="D46" s="53" t="s">
        <v>2407</v>
      </c>
      <c r="E46" s="54" t="s">
        <v>2408</v>
      </c>
      <c r="F46" s="54" t="s">
        <v>548</v>
      </c>
      <c r="G46" s="54" t="s">
        <v>2409</v>
      </c>
      <c r="H46" s="54" t="s">
        <v>2410</v>
      </c>
      <c r="I46" s="53" t="s">
        <v>2411</v>
      </c>
      <c r="J46" s="54" t="s">
        <v>2412</v>
      </c>
      <c r="K46" s="53" t="s">
        <v>2413</v>
      </c>
      <c r="L46" s="60" t="s">
        <v>9</v>
      </c>
      <c r="M46" s="64" t="n">
        <v>3</v>
      </c>
      <c r="N46" s="65" t="s">
        <v>2035</v>
      </c>
      <c r="O46" s="51" t="s">
        <v>95</v>
      </c>
      <c r="P46" s="54"/>
      <c r="Q46" s="54" t="s">
        <v>516</v>
      </c>
      <c r="R46" s="58" t="s">
        <v>517</v>
      </c>
      <c r="S46" s="54" t="s">
        <v>98</v>
      </c>
    </row>
    <row r="47" customFormat="false" ht="35.05" hidden="false" customHeight="false" outlineLevel="0" collapsed="false">
      <c r="A47" s="51" t="s">
        <v>2414</v>
      </c>
      <c r="B47" s="51" t="n">
        <v>43</v>
      </c>
      <c r="C47" s="52" t="s">
        <v>2415</v>
      </c>
      <c r="D47" s="53" t="s">
        <v>2416</v>
      </c>
      <c r="E47" s="54" t="s">
        <v>2417</v>
      </c>
      <c r="F47" s="54" t="s">
        <v>548</v>
      </c>
      <c r="G47" s="54" t="s">
        <v>2418</v>
      </c>
      <c r="H47" s="54" t="s">
        <v>2419</v>
      </c>
      <c r="I47" s="53" t="s">
        <v>2420</v>
      </c>
      <c r="J47" s="54" t="s">
        <v>2421</v>
      </c>
      <c r="K47" s="53" t="s">
        <v>2422</v>
      </c>
      <c r="L47" s="60" t="s">
        <v>9</v>
      </c>
      <c r="M47" s="64" t="n">
        <v>3</v>
      </c>
      <c r="N47" s="65" t="s">
        <v>2035</v>
      </c>
      <c r="O47" s="51" t="s">
        <v>95</v>
      </c>
      <c r="P47" s="54"/>
      <c r="Q47" s="54" t="s">
        <v>131</v>
      </c>
      <c r="R47" s="58" t="s">
        <v>132</v>
      </c>
      <c r="S47" s="54" t="s">
        <v>98</v>
      </c>
    </row>
    <row r="48" customFormat="false" ht="68.65" hidden="false" customHeight="false" outlineLevel="0" collapsed="false">
      <c r="A48" s="51" t="s">
        <v>2423</v>
      </c>
      <c r="B48" s="51" t="n">
        <v>44</v>
      </c>
      <c r="C48" s="52" t="s">
        <v>2424</v>
      </c>
      <c r="D48" s="53" t="s">
        <v>2425</v>
      </c>
      <c r="E48" s="54" t="s">
        <v>2426</v>
      </c>
      <c r="F48" s="54" t="s">
        <v>548</v>
      </c>
      <c r="G48" s="54" t="s">
        <v>2427</v>
      </c>
      <c r="H48" s="54" t="s">
        <v>2428</v>
      </c>
      <c r="I48" s="53" t="s">
        <v>2429</v>
      </c>
      <c r="J48" s="54" t="s">
        <v>2430</v>
      </c>
      <c r="K48" s="53" t="s">
        <v>2431</v>
      </c>
      <c r="L48" s="60" t="s">
        <v>9</v>
      </c>
      <c r="M48" s="64" t="n">
        <v>3</v>
      </c>
      <c r="N48" s="65" t="s">
        <v>2035</v>
      </c>
      <c r="O48" s="59" t="s">
        <v>161</v>
      </c>
      <c r="P48" s="54" t="s">
        <v>2432</v>
      </c>
      <c r="Q48" s="54" t="s">
        <v>237</v>
      </c>
      <c r="R48" s="58" t="s">
        <v>238</v>
      </c>
      <c r="S48" s="54" t="s">
        <v>98</v>
      </c>
    </row>
    <row r="49" customFormat="false" ht="35.05" hidden="false" customHeight="false" outlineLevel="0" collapsed="false">
      <c r="A49" s="51" t="s">
        <v>2433</v>
      </c>
      <c r="B49" s="51" t="n">
        <v>45</v>
      </c>
      <c r="C49" s="52" t="s">
        <v>2434</v>
      </c>
      <c r="D49" s="53" t="s">
        <v>2435</v>
      </c>
      <c r="E49" s="54" t="s">
        <v>2436</v>
      </c>
      <c r="F49" s="54" t="s">
        <v>548</v>
      </c>
      <c r="G49" s="54" t="s">
        <v>2437</v>
      </c>
      <c r="H49" s="54" t="s">
        <v>2438</v>
      </c>
      <c r="I49" s="53" t="s">
        <v>2439</v>
      </c>
      <c r="J49" s="54" t="s">
        <v>2440</v>
      </c>
      <c r="K49" s="53" t="s">
        <v>2441</v>
      </c>
      <c r="L49" s="60" t="s">
        <v>9</v>
      </c>
      <c r="M49" s="64" t="n">
        <v>3</v>
      </c>
      <c r="N49" s="65" t="s">
        <v>2035</v>
      </c>
      <c r="O49" s="51" t="s">
        <v>95</v>
      </c>
      <c r="P49" s="54"/>
      <c r="Q49" s="54" t="s">
        <v>131</v>
      </c>
      <c r="R49" s="58" t="s">
        <v>132</v>
      </c>
      <c r="S49" s="54" t="s">
        <v>98</v>
      </c>
    </row>
    <row r="50" customFormat="false" ht="35.05" hidden="false" customHeight="false" outlineLevel="0" collapsed="false">
      <c r="A50" s="51" t="s">
        <v>2442</v>
      </c>
      <c r="B50" s="51" t="n">
        <v>46</v>
      </c>
      <c r="C50" s="52" t="s">
        <v>2443</v>
      </c>
      <c r="D50" s="53" t="s">
        <v>2444</v>
      </c>
      <c r="E50" s="54" t="s">
        <v>2445</v>
      </c>
      <c r="F50" s="54" t="s">
        <v>548</v>
      </c>
      <c r="G50" s="54" t="s">
        <v>2446</v>
      </c>
      <c r="H50" s="54" t="s">
        <v>2447</v>
      </c>
      <c r="I50" s="53" t="s">
        <v>2448</v>
      </c>
      <c r="J50" s="54" t="s">
        <v>2449</v>
      </c>
      <c r="K50" s="53" t="s">
        <v>2450</v>
      </c>
      <c r="L50" s="60" t="s">
        <v>9</v>
      </c>
      <c r="M50" s="64" t="n">
        <v>3</v>
      </c>
      <c r="N50" s="65" t="s">
        <v>2035</v>
      </c>
      <c r="O50" s="59" t="s">
        <v>161</v>
      </c>
      <c r="P50" s="54" t="s">
        <v>2204</v>
      </c>
      <c r="Q50" s="54" t="s">
        <v>96</v>
      </c>
      <c r="R50" s="58" t="s">
        <v>97</v>
      </c>
      <c r="S50" s="54" t="s">
        <v>98</v>
      </c>
    </row>
    <row r="51" customFormat="false" ht="35.05" hidden="false" customHeight="false" outlineLevel="0" collapsed="false">
      <c r="A51" s="51" t="s">
        <v>2451</v>
      </c>
      <c r="B51" s="51" t="n">
        <v>47</v>
      </c>
      <c r="C51" s="52" t="s">
        <v>2452</v>
      </c>
      <c r="D51" s="53" t="s">
        <v>2453</v>
      </c>
      <c r="E51" s="54" t="s">
        <v>2454</v>
      </c>
      <c r="F51" s="54" t="s">
        <v>548</v>
      </c>
      <c r="G51" s="54" t="s">
        <v>2455</v>
      </c>
      <c r="H51" s="54" t="s">
        <v>2456</v>
      </c>
      <c r="I51" s="53" t="s">
        <v>2457</v>
      </c>
      <c r="J51" s="54" t="s">
        <v>2458</v>
      </c>
      <c r="K51" s="53" t="s">
        <v>2459</v>
      </c>
      <c r="L51" s="60" t="s">
        <v>9</v>
      </c>
      <c r="M51" s="64" t="n">
        <v>3</v>
      </c>
      <c r="N51" s="65" t="s">
        <v>2035</v>
      </c>
      <c r="O51" s="51" t="s">
        <v>95</v>
      </c>
      <c r="P51" s="54"/>
      <c r="Q51" s="54" t="s">
        <v>96</v>
      </c>
      <c r="R51" s="58" t="s">
        <v>97</v>
      </c>
      <c r="S51" s="54" t="s">
        <v>98</v>
      </c>
    </row>
    <row r="52" customFormat="false" ht="46.25" hidden="false" customHeight="false" outlineLevel="0" collapsed="false">
      <c r="A52" s="51" t="s">
        <v>2460</v>
      </c>
      <c r="B52" s="51" t="n">
        <v>48</v>
      </c>
      <c r="C52" s="52" t="s">
        <v>2461</v>
      </c>
      <c r="D52" s="53" t="s">
        <v>2462</v>
      </c>
      <c r="E52" s="54" t="s">
        <v>2463</v>
      </c>
      <c r="F52" s="54" t="s">
        <v>548</v>
      </c>
      <c r="G52" s="54" t="s">
        <v>2464</v>
      </c>
      <c r="H52" s="54" t="s">
        <v>2465</v>
      </c>
      <c r="I52" s="53" t="s">
        <v>2466</v>
      </c>
      <c r="J52" s="54" t="s">
        <v>2467</v>
      </c>
      <c r="K52" s="53" t="s">
        <v>2468</v>
      </c>
      <c r="L52" s="60" t="s">
        <v>9</v>
      </c>
      <c r="M52" s="64" t="n">
        <v>3</v>
      </c>
      <c r="N52" s="65" t="s">
        <v>2035</v>
      </c>
      <c r="O52" s="51" t="s">
        <v>95</v>
      </c>
      <c r="P52" s="54"/>
      <c r="Q52" s="54" t="s">
        <v>96</v>
      </c>
      <c r="R52" s="58" t="s">
        <v>97</v>
      </c>
      <c r="S52" s="54" t="s">
        <v>2469</v>
      </c>
    </row>
    <row r="53" customFormat="false" ht="35.05" hidden="false" customHeight="false" outlineLevel="0" collapsed="false">
      <c r="A53" s="51" t="s">
        <v>2470</v>
      </c>
      <c r="B53" s="51" t="n">
        <v>49</v>
      </c>
      <c r="C53" s="52" t="s">
        <v>2471</v>
      </c>
      <c r="D53" s="53" t="s">
        <v>2472</v>
      </c>
      <c r="E53" s="54" t="s">
        <v>2473</v>
      </c>
      <c r="F53" s="54" t="s">
        <v>2029</v>
      </c>
      <c r="G53" s="54" t="s">
        <v>2474</v>
      </c>
      <c r="H53" s="54" t="s">
        <v>2475</v>
      </c>
      <c r="I53" s="53" t="s">
        <v>2476</v>
      </c>
      <c r="J53" s="54" t="s">
        <v>2477</v>
      </c>
      <c r="K53" s="53" t="s">
        <v>2478</v>
      </c>
      <c r="L53" s="60" t="s">
        <v>9</v>
      </c>
      <c r="M53" s="64" t="n">
        <v>3</v>
      </c>
      <c r="N53" s="65" t="s">
        <v>2035</v>
      </c>
      <c r="O53" s="59" t="s">
        <v>161</v>
      </c>
      <c r="P53" s="54" t="s">
        <v>304</v>
      </c>
      <c r="Q53" s="54" t="s">
        <v>96</v>
      </c>
      <c r="R53" s="58" t="s">
        <v>97</v>
      </c>
      <c r="S53" s="54" t="s">
        <v>98</v>
      </c>
    </row>
    <row r="54" customFormat="false" ht="35.05" hidden="false" customHeight="false" outlineLevel="0" collapsed="false">
      <c r="A54" s="51" t="s">
        <v>2479</v>
      </c>
      <c r="B54" s="51" t="n">
        <v>50</v>
      </c>
      <c r="C54" s="52" t="s">
        <v>2480</v>
      </c>
      <c r="D54" s="53" t="s">
        <v>2481</v>
      </c>
      <c r="E54" s="54" t="s">
        <v>2482</v>
      </c>
      <c r="F54" s="54" t="s">
        <v>548</v>
      </c>
      <c r="G54" s="54" t="s">
        <v>2483</v>
      </c>
      <c r="H54" s="54" t="s">
        <v>2484</v>
      </c>
      <c r="I54" s="53" t="s">
        <v>2485</v>
      </c>
      <c r="J54" s="54" t="s">
        <v>2486</v>
      </c>
      <c r="K54" s="53" t="s">
        <v>2487</v>
      </c>
      <c r="L54" s="60" t="s">
        <v>9</v>
      </c>
      <c r="M54" s="64" t="n">
        <v>3</v>
      </c>
      <c r="N54" s="65" t="s">
        <v>2035</v>
      </c>
      <c r="O54" s="51" t="s">
        <v>95</v>
      </c>
      <c r="P54" s="54"/>
      <c r="Q54" s="54" t="s">
        <v>131</v>
      </c>
      <c r="R54" s="58" t="s">
        <v>132</v>
      </c>
      <c r="S54" s="54" t="s">
        <v>98</v>
      </c>
    </row>
    <row r="55" customFormat="false" ht="35.05" hidden="false" customHeight="false" outlineLevel="0" collapsed="false">
      <c r="A55" s="51" t="s">
        <v>2488</v>
      </c>
      <c r="B55" s="51" t="n">
        <v>51</v>
      </c>
      <c r="C55" s="52" t="s">
        <v>2489</v>
      </c>
      <c r="D55" s="53" t="s">
        <v>2490</v>
      </c>
      <c r="E55" s="54" t="s">
        <v>2491</v>
      </c>
      <c r="F55" s="54" t="s">
        <v>823</v>
      </c>
      <c r="G55" s="54" t="s">
        <v>2492</v>
      </c>
      <c r="H55" s="54" t="s">
        <v>2493</v>
      </c>
      <c r="I55" s="53" t="s">
        <v>2494</v>
      </c>
      <c r="J55" s="54" t="s">
        <v>2495</v>
      </c>
      <c r="K55" s="53" t="s">
        <v>2496</v>
      </c>
      <c r="L55" s="60" t="s">
        <v>9</v>
      </c>
      <c r="M55" s="64" t="n">
        <v>3</v>
      </c>
      <c r="N55" s="65" t="s">
        <v>2035</v>
      </c>
      <c r="O55" s="51" t="s">
        <v>95</v>
      </c>
      <c r="P55" s="54"/>
      <c r="Q55" s="54" t="s">
        <v>131</v>
      </c>
      <c r="R55" s="58" t="s">
        <v>132</v>
      </c>
      <c r="S55" s="54" t="s">
        <v>98</v>
      </c>
    </row>
    <row r="56" customFormat="false" ht="35.05" hidden="false" customHeight="false" outlineLevel="0" collapsed="false">
      <c r="A56" s="51" t="s">
        <v>2497</v>
      </c>
      <c r="B56" s="51" t="n">
        <v>52</v>
      </c>
      <c r="C56" s="52" t="s">
        <v>2498</v>
      </c>
      <c r="D56" s="53" t="s">
        <v>2499</v>
      </c>
      <c r="E56" s="54" t="s">
        <v>2500</v>
      </c>
      <c r="F56" s="54" t="s">
        <v>2029</v>
      </c>
      <c r="G56" s="54" t="s">
        <v>2501</v>
      </c>
      <c r="H56" s="54" t="s">
        <v>2502</v>
      </c>
      <c r="I56" s="53" t="s">
        <v>2503</v>
      </c>
      <c r="J56" s="54" t="s">
        <v>2504</v>
      </c>
      <c r="K56" s="53" t="s">
        <v>2505</v>
      </c>
      <c r="L56" s="60" t="s">
        <v>9</v>
      </c>
      <c r="M56" s="64" t="n">
        <v>3</v>
      </c>
      <c r="N56" s="65" t="s">
        <v>2035</v>
      </c>
      <c r="O56" s="59" t="s">
        <v>161</v>
      </c>
      <c r="P56" s="54" t="s">
        <v>304</v>
      </c>
      <c r="Q56" s="54" t="s">
        <v>131</v>
      </c>
      <c r="R56" s="58" t="s">
        <v>132</v>
      </c>
      <c r="S56" s="54" t="s">
        <v>98</v>
      </c>
    </row>
    <row r="57" customFormat="false" ht="35.05" hidden="false" customHeight="false" outlineLevel="0" collapsed="false">
      <c r="A57" s="51" t="s">
        <v>2506</v>
      </c>
      <c r="B57" s="51" t="n">
        <v>53</v>
      </c>
      <c r="C57" s="52" t="s">
        <v>2507</v>
      </c>
      <c r="D57" s="53" t="s">
        <v>2508</v>
      </c>
      <c r="E57" s="54" t="s">
        <v>2509</v>
      </c>
      <c r="F57" s="54" t="s">
        <v>548</v>
      </c>
      <c r="G57" s="54" t="s">
        <v>2510</v>
      </c>
      <c r="H57" s="54" t="s">
        <v>2511</v>
      </c>
      <c r="I57" s="53" t="s">
        <v>2512</v>
      </c>
      <c r="J57" s="54" t="s">
        <v>2513</v>
      </c>
      <c r="K57" s="53" t="s">
        <v>2514</v>
      </c>
      <c r="L57" s="60" t="s">
        <v>9</v>
      </c>
      <c r="M57" s="64" t="n">
        <v>3</v>
      </c>
      <c r="N57" s="65" t="s">
        <v>2035</v>
      </c>
      <c r="O57" s="59" t="s">
        <v>161</v>
      </c>
      <c r="P57" s="54" t="s">
        <v>554</v>
      </c>
      <c r="Q57" s="54" t="s">
        <v>131</v>
      </c>
      <c r="R57" s="58" t="s">
        <v>132</v>
      </c>
      <c r="S57" s="54" t="s">
        <v>98</v>
      </c>
    </row>
    <row r="58" customFormat="false" ht="68.65" hidden="false" customHeight="false" outlineLevel="0" collapsed="false">
      <c r="A58" s="51" t="s">
        <v>2515</v>
      </c>
      <c r="B58" s="51" t="n">
        <v>54</v>
      </c>
      <c r="C58" s="52" t="s">
        <v>2516</v>
      </c>
      <c r="D58" s="53" t="s">
        <v>2517</v>
      </c>
      <c r="E58" s="54" t="s">
        <v>2518</v>
      </c>
      <c r="F58" s="54" t="s">
        <v>548</v>
      </c>
      <c r="G58" s="54" t="s">
        <v>2519</v>
      </c>
      <c r="H58" s="54" t="s">
        <v>2520</v>
      </c>
      <c r="I58" s="53" t="s">
        <v>2521</v>
      </c>
      <c r="J58" s="54" t="s">
        <v>2522</v>
      </c>
      <c r="K58" s="53" t="s">
        <v>2523</v>
      </c>
      <c r="L58" s="60" t="s">
        <v>9</v>
      </c>
      <c r="M58" s="64" t="n">
        <v>3</v>
      </c>
      <c r="N58" s="65" t="s">
        <v>2035</v>
      </c>
      <c r="O58" s="51" t="s">
        <v>95</v>
      </c>
      <c r="P58" s="54"/>
      <c r="Q58" s="54" t="s">
        <v>237</v>
      </c>
      <c r="R58" s="58" t="s">
        <v>238</v>
      </c>
      <c r="S58" s="54" t="s">
        <v>98</v>
      </c>
    </row>
    <row r="59" customFormat="false" ht="35.05" hidden="false" customHeight="false" outlineLevel="0" collapsed="false">
      <c r="A59" s="51" t="s">
        <v>2524</v>
      </c>
      <c r="B59" s="51" t="n">
        <v>55</v>
      </c>
      <c r="C59" s="52" t="s">
        <v>2525</v>
      </c>
      <c r="D59" s="53" t="s">
        <v>2526</v>
      </c>
      <c r="E59" s="54" t="s">
        <v>2527</v>
      </c>
      <c r="F59" s="54" t="s">
        <v>548</v>
      </c>
      <c r="G59" s="54" t="s">
        <v>2528</v>
      </c>
      <c r="H59" s="54" t="s">
        <v>2529</v>
      </c>
      <c r="I59" s="53" t="s">
        <v>2530</v>
      </c>
      <c r="J59" s="54" t="s">
        <v>2531</v>
      </c>
      <c r="K59" s="53" t="s">
        <v>2532</v>
      </c>
      <c r="L59" s="60" t="s">
        <v>9</v>
      </c>
      <c r="M59" s="64" t="n">
        <v>3</v>
      </c>
      <c r="N59" s="65" t="s">
        <v>2035</v>
      </c>
      <c r="O59" s="51" t="s">
        <v>95</v>
      </c>
      <c r="P59" s="54"/>
      <c r="Q59" s="54" t="s">
        <v>96</v>
      </c>
      <c r="R59" s="58" t="s">
        <v>97</v>
      </c>
      <c r="S59" s="54" t="s">
        <v>98</v>
      </c>
    </row>
    <row r="60" customFormat="false" ht="35.05" hidden="false" customHeight="false" outlineLevel="0" collapsed="false">
      <c r="A60" s="51" t="s">
        <v>2533</v>
      </c>
      <c r="B60" s="51" t="n">
        <v>56</v>
      </c>
      <c r="C60" s="52" t="s">
        <v>2534</v>
      </c>
      <c r="D60" s="53" t="s">
        <v>2535</v>
      </c>
      <c r="E60" s="54" t="s">
        <v>2536</v>
      </c>
      <c r="F60" s="54" t="s">
        <v>2537</v>
      </c>
      <c r="G60" s="54" t="s">
        <v>2538</v>
      </c>
      <c r="H60" s="54" t="s">
        <v>2539</v>
      </c>
      <c r="I60" s="53" t="s">
        <v>2540</v>
      </c>
      <c r="J60" s="54" t="s">
        <v>2541</v>
      </c>
      <c r="K60" s="53" t="s">
        <v>2542</v>
      </c>
      <c r="L60" s="61" t="s">
        <v>10</v>
      </c>
      <c r="M60" s="64" t="n">
        <v>3</v>
      </c>
      <c r="N60" s="65" t="s">
        <v>2035</v>
      </c>
      <c r="O60" s="51" t="s">
        <v>95</v>
      </c>
      <c r="P60" s="54"/>
      <c r="Q60" s="54" t="s">
        <v>516</v>
      </c>
      <c r="R60" s="58" t="s">
        <v>517</v>
      </c>
      <c r="S60" s="54" t="s">
        <v>98</v>
      </c>
    </row>
    <row r="61" customFormat="false" ht="35.05" hidden="false" customHeight="false" outlineLevel="0" collapsed="false">
      <c r="A61" s="51" t="s">
        <v>2543</v>
      </c>
      <c r="B61" s="51" t="n">
        <v>57</v>
      </c>
      <c r="C61" s="52" t="s">
        <v>2544</v>
      </c>
      <c r="D61" s="53" t="s">
        <v>2545</v>
      </c>
      <c r="E61" s="54" t="s">
        <v>2546</v>
      </c>
      <c r="F61" s="54" t="s">
        <v>2029</v>
      </c>
      <c r="G61" s="54" t="s">
        <v>2547</v>
      </c>
      <c r="H61" s="54" t="s">
        <v>2548</v>
      </c>
      <c r="I61" s="53" t="s">
        <v>2549</v>
      </c>
      <c r="J61" s="54" t="s">
        <v>2550</v>
      </c>
      <c r="K61" s="53" t="s">
        <v>2551</v>
      </c>
      <c r="L61" s="61" t="s">
        <v>10</v>
      </c>
      <c r="M61" s="64" t="n">
        <v>3</v>
      </c>
      <c r="N61" s="65" t="s">
        <v>2035</v>
      </c>
      <c r="O61" s="51" t="s">
        <v>95</v>
      </c>
      <c r="P61" s="54"/>
      <c r="Q61" s="54" t="s">
        <v>516</v>
      </c>
      <c r="R61" s="58" t="s">
        <v>517</v>
      </c>
      <c r="S61" s="54" t="s">
        <v>98</v>
      </c>
    </row>
    <row r="62" customFormat="false" ht="35.05" hidden="false" customHeight="false" outlineLevel="0" collapsed="false">
      <c r="A62" s="51" t="s">
        <v>2552</v>
      </c>
      <c r="B62" s="51" t="n">
        <v>58</v>
      </c>
      <c r="C62" s="52" t="s">
        <v>2553</v>
      </c>
      <c r="D62" s="53" t="s">
        <v>2554</v>
      </c>
      <c r="E62" s="54" t="s">
        <v>2555</v>
      </c>
      <c r="F62" s="54" t="s">
        <v>823</v>
      </c>
      <c r="G62" s="54" t="s">
        <v>2556</v>
      </c>
      <c r="H62" s="54" t="s">
        <v>2557</v>
      </c>
      <c r="I62" s="53" t="s">
        <v>2558</v>
      </c>
      <c r="J62" s="54" t="s">
        <v>2559</v>
      </c>
      <c r="K62" s="53" t="s">
        <v>2560</v>
      </c>
      <c r="L62" s="61" t="s">
        <v>10</v>
      </c>
      <c r="M62" s="64" t="n">
        <v>3</v>
      </c>
      <c r="N62" s="65" t="s">
        <v>2035</v>
      </c>
      <c r="O62" s="51" t="s">
        <v>95</v>
      </c>
      <c r="P62" s="54"/>
      <c r="Q62" s="54" t="s">
        <v>516</v>
      </c>
      <c r="R62" s="58" t="s">
        <v>517</v>
      </c>
      <c r="S62" s="54" t="s">
        <v>98</v>
      </c>
    </row>
    <row r="63" customFormat="false" ht="35.05" hidden="false" customHeight="false" outlineLevel="0" collapsed="false">
      <c r="A63" s="51" t="s">
        <v>2561</v>
      </c>
      <c r="B63" s="51" t="n">
        <v>59</v>
      </c>
      <c r="C63" s="52" t="s">
        <v>2562</v>
      </c>
      <c r="D63" s="53" t="s">
        <v>2563</v>
      </c>
      <c r="E63" s="54" t="s">
        <v>2564</v>
      </c>
      <c r="F63" s="54" t="s">
        <v>125</v>
      </c>
      <c r="G63" s="54" t="s">
        <v>2565</v>
      </c>
      <c r="H63" s="54" t="s">
        <v>2566</v>
      </c>
      <c r="I63" s="53" t="s">
        <v>2567</v>
      </c>
      <c r="J63" s="54" t="s">
        <v>2568</v>
      </c>
      <c r="K63" s="53" t="s">
        <v>2569</v>
      </c>
      <c r="L63" s="61" t="s">
        <v>10</v>
      </c>
      <c r="M63" s="64" t="n">
        <v>3</v>
      </c>
      <c r="N63" s="65" t="s">
        <v>2035</v>
      </c>
      <c r="O63" s="51" t="s">
        <v>95</v>
      </c>
      <c r="P63" s="54"/>
      <c r="Q63" s="54" t="s">
        <v>131</v>
      </c>
      <c r="R63" s="58" t="s">
        <v>132</v>
      </c>
      <c r="S63" s="54" t="s">
        <v>98</v>
      </c>
    </row>
    <row r="64" customFormat="false" ht="35.05" hidden="false" customHeight="false" outlineLevel="0" collapsed="false">
      <c r="A64" s="51" t="s">
        <v>2570</v>
      </c>
      <c r="B64" s="51" t="n">
        <v>60</v>
      </c>
      <c r="C64" s="52" t="s">
        <v>2571</v>
      </c>
      <c r="D64" s="53" t="s">
        <v>2572</v>
      </c>
      <c r="E64" s="54" t="s">
        <v>2573</v>
      </c>
      <c r="F64" s="54" t="s">
        <v>125</v>
      </c>
      <c r="G64" s="54" t="s">
        <v>2574</v>
      </c>
      <c r="H64" s="54" t="s">
        <v>2575</v>
      </c>
      <c r="I64" s="53" t="s">
        <v>2576</v>
      </c>
      <c r="J64" s="54" t="s">
        <v>2577</v>
      </c>
      <c r="K64" s="53" t="s">
        <v>2578</v>
      </c>
      <c r="L64" s="61" t="s">
        <v>10</v>
      </c>
      <c r="M64" s="64" t="n">
        <v>3</v>
      </c>
      <c r="N64" s="65" t="s">
        <v>2035</v>
      </c>
      <c r="O64" s="51" t="s">
        <v>95</v>
      </c>
      <c r="P64" s="54"/>
      <c r="Q64" s="54" t="s">
        <v>516</v>
      </c>
      <c r="R64" s="58" t="s">
        <v>517</v>
      </c>
      <c r="S64" s="54" t="s">
        <v>98</v>
      </c>
    </row>
    <row r="65" customFormat="false" ht="35.05" hidden="false" customHeight="false" outlineLevel="0" collapsed="false">
      <c r="A65" s="51" t="s">
        <v>2579</v>
      </c>
      <c r="B65" s="51" t="n">
        <v>61</v>
      </c>
      <c r="C65" s="52" t="s">
        <v>2580</v>
      </c>
      <c r="D65" s="53" t="s">
        <v>2581</v>
      </c>
      <c r="E65" s="54" t="s">
        <v>2582</v>
      </c>
      <c r="F65" s="54" t="s">
        <v>125</v>
      </c>
      <c r="G65" s="54" t="s">
        <v>2583</v>
      </c>
      <c r="H65" s="54" t="s">
        <v>2584</v>
      </c>
      <c r="I65" s="53" t="s">
        <v>2585</v>
      </c>
      <c r="J65" s="54" t="s">
        <v>2586</v>
      </c>
      <c r="K65" s="53" t="s">
        <v>2587</v>
      </c>
      <c r="L65" s="61" t="s">
        <v>10</v>
      </c>
      <c r="M65" s="64" t="n">
        <v>3</v>
      </c>
      <c r="N65" s="65" t="s">
        <v>2035</v>
      </c>
      <c r="O65" s="59" t="s">
        <v>161</v>
      </c>
      <c r="P65" s="54" t="s">
        <v>2082</v>
      </c>
      <c r="Q65" s="54" t="s">
        <v>131</v>
      </c>
      <c r="R65" s="58" t="s">
        <v>132</v>
      </c>
      <c r="S65" s="54" t="s">
        <v>98</v>
      </c>
    </row>
    <row r="66" customFormat="false" ht="35.05" hidden="false" customHeight="false" outlineLevel="0" collapsed="false">
      <c r="A66" s="51" t="s">
        <v>2588</v>
      </c>
      <c r="B66" s="51" t="n">
        <v>62</v>
      </c>
      <c r="C66" s="52" t="s">
        <v>2589</v>
      </c>
      <c r="D66" s="53" t="s">
        <v>2590</v>
      </c>
      <c r="E66" s="54" t="s">
        <v>2591</v>
      </c>
      <c r="F66" s="54" t="s">
        <v>548</v>
      </c>
      <c r="G66" s="54" t="s">
        <v>2592</v>
      </c>
      <c r="H66" s="54" t="s">
        <v>2593</v>
      </c>
      <c r="I66" s="53" t="s">
        <v>2594</v>
      </c>
      <c r="J66" s="54" t="s">
        <v>2595</v>
      </c>
      <c r="K66" s="53" t="s">
        <v>2596</v>
      </c>
      <c r="L66" s="61" t="s">
        <v>10</v>
      </c>
      <c r="M66" s="64" t="n">
        <v>3</v>
      </c>
      <c r="N66" s="65" t="s">
        <v>2035</v>
      </c>
      <c r="O66" s="59" t="s">
        <v>161</v>
      </c>
      <c r="P66" s="54" t="s">
        <v>2432</v>
      </c>
      <c r="Q66" s="54" t="s">
        <v>516</v>
      </c>
      <c r="R66" s="58" t="s">
        <v>517</v>
      </c>
      <c r="S66" s="54" t="s">
        <v>98</v>
      </c>
    </row>
    <row r="67" customFormat="false" ht="35.05" hidden="false" customHeight="false" outlineLevel="0" collapsed="false">
      <c r="A67" s="51" t="s">
        <v>2597</v>
      </c>
      <c r="B67" s="51" t="n">
        <v>63</v>
      </c>
      <c r="C67" s="52" t="s">
        <v>2598</v>
      </c>
      <c r="D67" s="53" t="s">
        <v>2599</v>
      </c>
      <c r="E67" s="54" t="s">
        <v>2600</v>
      </c>
      <c r="F67" s="54" t="s">
        <v>125</v>
      </c>
      <c r="G67" s="54" t="s">
        <v>2601</v>
      </c>
      <c r="H67" s="54" t="s">
        <v>2602</v>
      </c>
      <c r="I67" s="53" t="s">
        <v>2603</v>
      </c>
      <c r="J67" s="54" t="s">
        <v>2604</v>
      </c>
      <c r="K67" s="53" t="s">
        <v>2605</v>
      </c>
      <c r="L67" s="61" t="s">
        <v>10</v>
      </c>
      <c r="M67" s="64" t="n">
        <v>3</v>
      </c>
      <c r="N67" s="65" t="s">
        <v>2035</v>
      </c>
      <c r="O67" s="59" t="s">
        <v>161</v>
      </c>
      <c r="P67" s="54" t="s">
        <v>2082</v>
      </c>
      <c r="Q67" s="54" t="s">
        <v>131</v>
      </c>
      <c r="R67" s="58" t="s">
        <v>132</v>
      </c>
      <c r="S67" s="54" t="s">
        <v>98</v>
      </c>
    </row>
    <row r="68" customFormat="false" ht="35.05" hidden="false" customHeight="false" outlineLevel="0" collapsed="false">
      <c r="A68" s="51" t="s">
        <v>2606</v>
      </c>
      <c r="B68" s="51" t="n">
        <v>64</v>
      </c>
      <c r="C68" s="52" t="s">
        <v>2607</v>
      </c>
      <c r="D68" s="53" t="s">
        <v>2608</v>
      </c>
      <c r="E68" s="54" t="s">
        <v>2609</v>
      </c>
      <c r="F68" s="54" t="s">
        <v>548</v>
      </c>
      <c r="G68" s="54" t="s">
        <v>2610</v>
      </c>
      <c r="H68" s="54" t="s">
        <v>2611</v>
      </c>
      <c r="I68" s="53" t="s">
        <v>2612</v>
      </c>
      <c r="J68" s="54" t="s">
        <v>2613</v>
      </c>
      <c r="K68" s="53" t="s">
        <v>2614</v>
      </c>
      <c r="L68" s="61" t="s">
        <v>10</v>
      </c>
      <c r="M68" s="64" t="n">
        <v>3</v>
      </c>
      <c r="N68" s="65" t="s">
        <v>2035</v>
      </c>
      <c r="O68" s="51" t="s">
        <v>95</v>
      </c>
      <c r="P68" s="54"/>
      <c r="Q68" s="54" t="s">
        <v>96</v>
      </c>
      <c r="R68" s="58" t="s">
        <v>97</v>
      </c>
      <c r="S68" s="54" t="s">
        <v>98</v>
      </c>
    </row>
    <row r="69" customFormat="false" ht="35.05" hidden="false" customHeight="false" outlineLevel="0" collapsed="false">
      <c r="A69" s="51" t="s">
        <v>2615</v>
      </c>
      <c r="B69" s="51" t="n">
        <v>65</v>
      </c>
      <c r="C69" s="52" t="s">
        <v>2616</v>
      </c>
      <c r="D69" s="53" t="s">
        <v>2617</v>
      </c>
      <c r="E69" s="54" t="s">
        <v>2618</v>
      </c>
      <c r="F69" s="54" t="s">
        <v>614</v>
      </c>
      <c r="G69" s="54" t="s">
        <v>2619</v>
      </c>
      <c r="H69" s="54" t="s">
        <v>2620</v>
      </c>
      <c r="I69" s="53" t="s">
        <v>2621</v>
      </c>
      <c r="J69" s="54" t="s">
        <v>2622</v>
      </c>
      <c r="K69" s="53" t="s">
        <v>2623</v>
      </c>
      <c r="L69" s="61" t="s">
        <v>10</v>
      </c>
      <c r="M69" s="64" t="n">
        <v>3</v>
      </c>
      <c r="N69" s="65" t="s">
        <v>2035</v>
      </c>
      <c r="O69" s="51" t="s">
        <v>95</v>
      </c>
      <c r="P69" s="54"/>
      <c r="Q69" s="54" t="s">
        <v>516</v>
      </c>
      <c r="R69" s="58" t="s">
        <v>517</v>
      </c>
      <c r="S69" s="54" t="s">
        <v>98</v>
      </c>
    </row>
    <row r="70" customFormat="false" ht="35.05" hidden="false" customHeight="false" outlineLevel="0" collapsed="false">
      <c r="A70" s="51" t="s">
        <v>2624</v>
      </c>
      <c r="B70" s="51" t="n">
        <v>66</v>
      </c>
      <c r="C70" s="52" t="s">
        <v>2625</v>
      </c>
      <c r="D70" s="53" t="s">
        <v>2626</v>
      </c>
      <c r="E70" s="54" t="s">
        <v>2627</v>
      </c>
      <c r="F70" s="54" t="s">
        <v>2029</v>
      </c>
      <c r="G70" s="54" t="s">
        <v>2628</v>
      </c>
      <c r="H70" s="54" t="s">
        <v>2629</v>
      </c>
      <c r="I70" s="53" t="s">
        <v>2630</v>
      </c>
      <c r="J70" s="54" t="s">
        <v>2631</v>
      </c>
      <c r="K70" s="53" t="s">
        <v>2632</v>
      </c>
      <c r="L70" s="61" t="s">
        <v>10</v>
      </c>
      <c r="M70" s="64" t="n">
        <v>3</v>
      </c>
      <c r="N70" s="65" t="s">
        <v>2035</v>
      </c>
      <c r="O70" s="51" t="s">
        <v>95</v>
      </c>
      <c r="P70" s="54"/>
      <c r="Q70" s="54" t="s">
        <v>516</v>
      </c>
      <c r="R70" s="58" t="s">
        <v>517</v>
      </c>
      <c r="S70" s="54" t="s">
        <v>98</v>
      </c>
    </row>
    <row r="71" customFormat="false" ht="35.05" hidden="false" customHeight="false" outlineLevel="0" collapsed="false">
      <c r="A71" s="51" t="s">
        <v>2633</v>
      </c>
      <c r="B71" s="51" t="n">
        <v>67</v>
      </c>
      <c r="C71" s="52" t="s">
        <v>2634</v>
      </c>
      <c r="D71" s="53" t="s">
        <v>2635</v>
      </c>
      <c r="E71" s="54" t="s">
        <v>2636</v>
      </c>
      <c r="F71" s="54" t="s">
        <v>548</v>
      </c>
      <c r="G71" s="54" t="s">
        <v>2637</v>
      </c>
      <c r="H71" s="54" t="s">
        <v>2638</v>
      </c>
      <c r="I71" s="53" t="s">
        <v>2639</v>
      </c>
      <c r="J71" s="54" t="s">
        <v>2640</v>
      </c>
      <c r="K71" s="53" t="s">
        <v>2641</v>
      </c>
      <c r="L71" s="61" t="s">
        <v>10</v>
      </c>
      <c r="M71" s="64" t="n">
        <v>3</v>
      </c>
      <c r="N71" s="65" t="s">
        <v>2035</v>
      </c>
      <c r="O71" s="51" t="s">
        <v>95</v>
      </c>
      <c r="P71" s="54"/>
      <c r="Q71" s="54" t="s">
        <v>516</v>
      </c>
      <c r="R71" s="58" t="s">
        <v>517</v>
      </c>
      <c r="S71" s="54" t="s">
        <v>98</v>
      </c>
    </row>
    <row r="72" customFormat="false" ht="35.05" hidden="false" customHeight="false" outlineLevel="0" collapsed="false">
      <c r="A72" s="51" t="s">
        <v>2642</v>
      </c>
      <c r="B72" s="51" t="n">
        <v>68</v>
      </c>
      <c r="C72" s="52" t="s">
        <v>2643</v>
      </c>
      <c r="D72" s="53" t="s">
        <v>2644</v>
      </c>
      <c r="E72" s="54" t="s">
        <v>2645</v>
      </c>
      <c r="F72" s="54" t="s">
        <v>249</v>
      </c>
      <c r="G72" s="54" t="s">
        <v>2646</v>
      </c>
      <c r="H72" s="54" t="s">
        <v>2647</v>
      </c>
      <c r="I72" s="53" t="s">
        <v>2648</v>
      </c>
      <c r="J72" s="54" t="s">
        <v>2649</v>
      </c>
      <c r="K72" s="53" t="s">
        <v>2650</v>
      </c>
      <c r="L72" s="61" t="s">
        <v>10</v>
      </c>
      <c r="M72" s="64" t="n">
        <v>3</v>
      </c>
      <c r="N72" s="65" t="s">
        <v>2035</v>
      </c>
      <c r="O72" s="51" t="s">
        <v>95</v>
      </c>
      <c r="P72" s="54"/>
      <c r="Q72" s="54" t="s">
        <v>96</v>
      </c>
      <c r="R72" s="58" t="s">
        <v>97</v>
      </c>
      <c r="S72" s="54" t="s">
        <v>98</v>
      </c>
    </row>
    <row r="73" customFormat="false" ht="35.05" hidden="false" customHeight="false" outlineLevel="0" collapsed="false">
      <c r="A73" s="51" t="s">
        <v>2651</v>
      </c>
      <c r="B73" s="51" t="n">
        <v>69</v>
      </c>
      <c r="C73" s="52" t="s">
        <v>2652</v>
      </c>
      <c r="D73" s="53" t="s">
        <v>2653</v>
      </c>
      <c r="E73" s="54" t="s">
        <v>2654</v>
      </c>
      <c r="F73" s="54" t="s">
        <v>548</v>
      </c>
      <c r="G73" s="54" t="s">
        <v>2655</v>
      </c>
      <c r="H73" s="54" t="s">
        <v>2656</v>
      </c>
      <c r="I73" s="53" t="s">
        <v>2657</v>
      </c>
      <c r="J73" s="54" t="s">
        <v>2658</v>
      </c>
      <c r="K73" s="53" t="s">
        <v>2659</v>
      </c>
      <c r="L73" s="61" t="s">
        <v>10</v>
      </c>
      <c r="M73" s="64" t="n">
        <v>3</v>
      </c>
      <c r="N73" s="65" t="s">
        <v>2035</v>
      </c>
      <c r="O73" s="59" t="s">
        <v>161</v>
      </c>
      <c r="P73" s="54" t="s">
        <v>573</v>
      </c>
      <c r="Q73" s="54" t="s">
        <v>96</v>
      </c>
      <c r="R73" s="58" t="s">
        <v>97</v>
      </c>
      <c r="S73" s="54" t="s">
        <v>98</v>
      </c>
    </row>
    <row r="74" customFormat="false" ht="35.05" hidden="false" customHeight="false" outlineLevel="0" collapsed="false">
      <c r="A74" s="51" t="s">
        <v>2660</v>
      </c>
      <c r="B74" s="51" t="n">
        <v>70</v>
      </c>
      <c r="C74" s="52" t="s">
        <v>2661</v>
      </c>
      <c r="D74" s="53" t="s">
        <v>2662</v>
      </c>
      <c r="E74" s="54" t="s">
        <v>2663</v>
      </c>
      <c r="F74" s="54" t="s">
        <v>289</v>
      </c>
      <c r="G74" s="54" t="s">
        <v>2664</v>
      </c>
      <c r="H74" s="54" t="s">
        <v>2665</v>
      </c>
      <c r="I74" s="53" t="s">
        <v>2666</v>
      </c>
      <c r="J74" s="54" t="s">
        <v>2667</v>
      </c>
      <c r="K74" s="53" t="s">
        <v>2668</v>
      </c>
      <c r="L74" s="61" t="s">
        <v>10</v>
      </c>
      <c r="M74" s="64" t="n">
        <v>3</v>
      </c>
      <c r="N74" s="65" t="s">
        <v>2035</v>
      </c>
      <c r="O74" s="51" t="s">
        <v>95</v>
      </c>
      <c r="P74" s="54"/>
      <c r="Q74" s="54" t="s">
        <v>516</v>
      </c>
      <c r="R74" s="58" t="s">
        <v>517</v>
      </c>
      <c r="S74" s="54" t="s">
        <v>98</v>
      </c>
    </row>
    <row r="75" customFormat="false" ht="35.05" hidden="false" customHeight="false" outlineLevel="0" collapsed="false">
      <c r="A75" s="51" t="s">
        <v>2669</v>
      </c>
      <c r="B75" s="51" t="n">
        <v>71</v>
      </c>
      <c r="C75" s="52" t="s">
        <v>2670</v>
      </c>
      <c r="D75" s="53" t="s">
        <v>2671</v>
      </c>
      <c r="E75" s="54" t="s">
        <v>2672</v>
      </c>
      <c r="F75" s="54" t="s">
        <v>548</v>
      </c>
      <c r="G75" s="54" t="s">
        <v>2673</v>
      </c>
      <c r="H75" s="54" t="s">
        <v>2674</v>
      </c>
      <c r="I75" s="53" t="s">
        <v>2675</v>
      </c>
      <c r="J75" s="54" t="s">
        <v>2676</v>
      </c>
      <c r="K75" s="53" t="s">
        <v>2677</v>
      </c>
      <c r="L75" s="61" t="s">
        <v>10</v>
      </c>
      <c r="M75" s="64" t="n">
        <v>3</v>
      </c>
      <c r="N75" s="65" t="s">
        <v>2035</v>
      </c>
      <c r="O75" s="51" t="s">
        <v>95</v>
      </c>
      <c r="P75" s="54"/>
      <c r="Q75" s="54" t="s">
        <v>516</v>
      </c>
      <c r="R75" s="58" t="s">
        <v>517</v>
      </c>
      <c r="S75" s="54" t="s">
        <v>98</v>
      </c>
    </row>
    <row r="76" customFormat="false" ht="35.05" hidden="false" customHeight="false" outlineLevel="0" collapsed="false">
      <c r="A76" s="51" t="s">
        <v>2678</v>
      </c>
      <c r="B76" s="51" t="n">
        <v>72</v>
      </c>
      <c r="C76" s="52" t="s">
        <v>2679</v>
      </c>
      <c r="D76" s="53" t="s">
        <v>2680</v>
      </c>
      <c r="E76" s="54" t="s">
        <v>2681</v>
      </c>
      <c r="F76" s="54" t="s">
        <v>125</v>
      </c>
      <c r="G76" s="54" t="s">
        <v>2682</v>
      </c>
      <c r="H76" s="54" t="s">
        <v>2683</v>
      </c>
      <c r="I76" s="53" t="s">
        <v>2684</v>
      </c>
      <c r="J76" s="54" t="s">
        <v>2685</v>
      </c>
      <c r="K76" s="53" t="s">
        <v>2686</v>
      </c>
      <c r="L76" s="61" t="s">
        <v>10</v>
      </c>
      <c r="M76" s="64" t="n">
        <v>3</v>
      </c>
      <c r="N76" s="65" t="s">
        <v>2035</v>
      </c>
      <c r="O76" s="51" t="s">
        <v>95</v>
      </c>
      <c r="P76" s="54"/>
      <c r="Q76" s="54" t="s">
        <v>131</v>
      </c>
      <c r="R76" s="58" t="s">
        <v>132</v>
      </c>
      <c r="S76" s="54" t="s">
        <v>98</v>
      </c>
    </row>
    <row r="77" customFormat="false" ht="35.05" hidden="false" customHeight="false" outlineLevel="0" collapsed="false">
      <c r="A77" s="51" t="s">
        <v>2687</v>
      </c>
      <c r="B77" s="51" t="n">
        <v>73</v>
      </c>
      <c r="C77" s="52" t="s">
        <v>2688</v>
      </c>
      <c r="D77" s="53" t="s">
        <v>2689</v>
      </c>
      <c r="E77" s="54" t="s">
        <v>2690</v>
      </c>
      <c r="F77" s="54" t="s">
        <v>2029</v>
      </c>
      <c r="G77" s="54" t="s">
        <v>2691</v>
      </c>
      <c r="H77" s="54" t="s">
        <v>2692</v>
      </c>
      <c r="I77" s="53" t="s">
        <v>2693</v>
      </c>
      <c r="J77" s="54" t="s">
        <v>2694</v>
      </c>
      <c r="K77" s="53" t="s">
        <v>2695</v>
      </c>
      <c r="L77" s="61" t="s">
        <v>10</v>
      </c>
      <c r="M77" s="64" t="n">
        <v>3</v>
      </c>
      <c r="N77" s="65" t="s">
        <v>2035</v>
      </c>
      <c r="O77" s="51" t="s">
        <v>95</v>
      </c>
      <c r="P77" s="54"/>
      <c r="Q77" s="54" t="s">
        <v>131</v>
      </c>
      <c r="R77" s="58" t="s">
        <v>132</v>
      </c>
      <c r="S77" s="54" t="s">
        <v>98</v>
      </c>
    </row>
    <row r="78" customFormat="false" ht="35.05" hidden="false" customHeight="false" outlineLevel="0" collapsed="false">
      <c r="A78" s="51" t="s">
        <v>2696</v>
      </c>
      <c r="B78" s="51" t="n">
        <v>74</v>
      </c>
      <c r="C78" s="52" t="s">
        <v>2697</v>
      </c>
      <c r="D78" s="53" t="s">
        <v>2698</v>
      </c>
      <c r="E78" s="54" t="s">
        <v>2699</v>
      </c>
      <c r="F78" s="54" t="s">
        <v>2029</v>
      </c>
      <c r="G78" s="54" t="s">
        <v>2700</v>
      </c>
      <c r="H78" s="54" t="s">
        <v>2701</v>
      </c>
      <c r="I78" s="53" t="s">
        <v>2702</v>
      </c>
      <c r="J78" s="54" t="s">
        <v>2703</v>
      </c>
      <c r="K78" s="53" t="s">
        <v>2704</v>
      </c>
      <c r="L78" s="61" t="s">
        <v>10</v>
      </c>
      <c r="M78" s="64" t="n">
        <v>3</v>
      </c>
      <c r="N78" s="65" t="s">
        <v>2035</v>
      </c>
      <c r="O78" s="51" t="s">
        <v>95</v>
      </c>
      <c r="P78" s="54"/>
      <c r="Q78" s="54" t="s">
        <v>516</v>
      </c>
      <c r="R78" s="58" t="s">
        <v>517</v>
      </c>
      <c r="S78" s="54" t="s">
        <v>98</v>
      </c>
    </row>
    <row r="79" customFormat="false" ht="35.05" hidden="false" customHeight="false" outlineLevel="0" collapsed="false">
      <c r="A79" s="51" t="s">
        <v>2705</v>
      </c>
      <c r="B79" s="51" t="n">
        <v>75</v>
      </c>
      <c r="C79" s="52" t="s">
        <v>2706</v>
      </c>
      <c r="D79" s="53" t="s">
        <v>2707</v>
      </c>
      <c r="E79" s="54" t="s">
        <v>2708</v>
      </c>
      <c r="F79" s="54" t="s">
        <v>823</v>
      </c>
      <c r="G79" s="54" t="s">
        <v>2709</v>
      </c>
      <c r="H79" s="54" t="s">
        <v>2710</v>
      </c>
      <c r="I79" s="53" t="s">
        <v>2711</v>
      </c>
      <c r="J79" s="54" t="s">
        <v>2712</v>
      </c>
      <c r="K79" s="53" t="s">
        <v>2713</v>
      </c>
      <c r="L79" s="61" t="s">
        <v>10</v>
      </c>
      <c r="M79" s="64" t="n">
        <v>3</v>
      </c>
      <c r="N79" s="65" t="s">
        <v>2035</v>
      </c>
      <c r="O79" s="51" t="s">
        <v>95</v>
      </c>
      <c r="P79" s="54"/>
      <c r="Q79" s="54" t="s">
        <v>96</v>
      </c>
      <c r="R79" s="58" t="s">
        <v>97</v>
      </c>
      <c r="S79" s="54" t="s">
        <v>98</v>
      </c>
    </row>
    <row r="80" customFormat="false" ht="35.05" hidden="false" customHeight="false" outlineLevel="0" collapsed="false">
      <c r="A80" s="51" t="s">
        <v>2714</v>
      </c>
      <c r="B80" s="51" t="n">
        <v>76</v>
      </c>
      <c r="C80" s="52" t="s">
        <v>2715</v>
      </c>
      <c r="D80" s="53" t="s">
        <v>2716</v>
      </c>
      <c r="E80" s="54" t="s">
        <v>2717</v>
      </c>
      <c r="F80" s="54" t="s">
        <v>823</v>
      </c>
      <c r="G80" s="54" t="s">
        <v>2718</v>
      </c>
      <c r="H80" s="54" t="s">
        <v>2719</v>
      </c>
      <c r="I80" s="53" t="s">
        <v>2720</v>
      </c>
      <c r="J80" s="54" t="s">
        <v>2721</v>
      </c>
      <c r="K80" s="53" t="s">
        <v>2722</v>
      </c>
      <c r="L80" s="61" t="s">
        <v>10</v>
      </c>
      <c r="M80" s="64" t="n">
        <v>3</v>
      </c>
      <c r="N80" s="65" t="s">
        <v>2035</v>
      </c>
      <c r="O80" s="51" t="s">
        <v>95</v>
      </c>
      <c r="P80" s="54"/>
      <c r="Q80" s="54" t="s">
        <v>516</v>
      </c>
      <c r="R80" s="58" t="s">
        <v>517</v>
      </c>
      <c r="S80" s="54" t="s">
        <v>98</v>
      </c>
    </row>
  </sheetData>
  <autoFilter ref="A4:S80"/>
  <mergeCells count="2">
    <mergeCell ref="A1:S1"/>
    <mergeCell ref="A2:S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7B0"/>
    <pageSetUpPr fitToPage="true"/>
  </sheetPr>
  <dimension ref="A1:S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
    <col collapsed="false" customWidth="true" hidden="false" outlineLevel="0" max="3" min="3" style="0" width="30"/>
    <col collapsed="false" customWidth="true" hidden="false" outlineLevel="0" max="4" min="4" style="0" width="26"/>
    <col collapsed="false" customWidth="true" hidden="false" outlineLevel="0" max="5" min="5" style="0" width="24"/>
    <col collapsed="false" customWidth="true" hidden="false" outlineLevel="0" max="6" min="6" style="0" width="22"/>
    <col collapsed="false" customWidth="true" hidden="false" outlineLevel="0" max="7" min="7" style="0" width="55"/>
    <col collapsed="false" customWidth="true" hidden="false" outlineLevel="0" max="8" min="8" style="0" width="46"/>
    <col collapsed="false" customWidth="true" hidden="false" outlineLevel="0" max="9" min="9" style="0" width="44"/>
    <col collapsed="false" customWidth="true" hidden="false" outlineLevel="0" max="10" min="10" style="0" width="46"/>
    <col collapsed="false" customWidth="true" hidden="false" outlineLevel="0" max="11" min="11" style="0" width="44"/>
    <col collapsed="false" customWidth="true" hidden="false" outlineLevel="0" max="12" min="12" style="0" width="14"/>
    <col collapsed="false" customWidth="true" hidden="false" outlineLevel="0" max="13" min="13" style="0" width="8"/>
    <col collapsed="false" customWidth="true" hidden="false" outlineLevel="0" max="14" min="14" style="0" width="30"/>
    <col collapsed="false" customWidth="true" hidden="false" outlineLevel="0" max="15" min="15" style="0" width="12"/>
    <col collapsed="false" customWidth="true" hidden="false" outlineLevel="0" max="16" min="16" style="0" width="24"/>
    <col collapsed="false" customWidth="true" hidden="false" outlineLevel="0" max="17" min="17" style="0" width="28"/>
    <col collapsed="false" customWidth="true" hidden="false" outlineLevel="0" max="18" min="18" style="0" width="45"/>
    <col collapsed="false" customWidth="true" hidden="false" outlineLevel="0" max="19" min="19" style="0" width="50"/>
  </cols>
  <sheetData>
    <row r="1" customFormat="false" ht="17.15" hidden="false" customHeight="false" outlineLevel="0" collapsed="false">
      <c r="A1" s="1" t="s">
        <v>4070</v>
      </c>
      <c r="B1" s="1"/>
      <c r="C1" s="1"/>
      <c r="D1" s="1"/>
      <c r="E1" s="1"/>
      <c r="F1" s="1"/>
      <c r="G1" s="1"/>
      <c r="H1" s="1"/>
      <c r="I1" s="1"/>
      <c r="J1" s="1"/>
      <c r="K1" s="1"/>
      <c r="L1" s="1"/>
      <c r="M1" s="1"/>
      <c r="N1" s="1"/>
      <c r="O1" s="1"/>
      <c r="P1" s="1"/>
      <c r="Q1" s="1"/>
      <c r="R1" s="1"/>
      <c r="S1" s="1"/>
    </row>
    <row r="2" customFormat="false" ht="11.9" hidden="false" customHeight="false" outlineLevel="0" collapsed="false">
      <c r="A2" s="2" t="s">
        <v>4071</v>
      </c>
      <c r="B2" s="2"/>
      <c r="C2" s="2"/>
      <c r="D2" s="2"/>
      <c r="E2" s="2"/>
      <c r="F2" s="2"/>
      <c r="G2" s="2"/>
      <c r="H2" s="2"/>
      <c r="I2" s="2"/>
      <c r="J2" s="2"/>
      <c r="K2" s="2"/>
      <c r="L2" s="2"/>
      <c r="M2" s="2"/>
      <c r="N2" s="2"/>
      <c r="O2" s="2"/>
      <c r="P2" s="2"/>
      <c r="Q2" s="2"/>
      <c r="R2" s="2"/>
      <c r="S2" s="2"/>
    </row>
    <row r="4" customFormat="false" ht="30" hidden="false" customHeight="true" outlineLevel="0" collapsed="false">
      <c r="A4" s="3" t="s">
        <v>50</v>
      </c>
      <c r="B4" s="3" t="s">
        <v>74</v>
      </c>
      <c r="C4" s="3" t="s">
        <v>75</v>
      </c>
      <c r="D4" s="3" t="s">
        <v>76</v>
      </c>
      <c r="E4" s="3" t="s">
        <v>54</v>
      </c>
      <c r="F4" s="3" t="s">
        <v>56</v>
      </c>
      <c r="G4" s="3" t="s">
        <v>58</v>
      </c>
      <c r="H4" s="3" t="s">
        <v>77</v>
      </c>
      <c r="I4" s="3" t="s">
        <v>78</v>
      </c>
      <c r="J4" s="3" t="s">
        <v>79</v>
      </c>
      <c r="K4" s="3" t="s">
        <v>80</v>
      </c>
      <c r="L4" s="3" t="s">
        <v>62</v>
      </c>
      <c r="M4" s="3" t="s">
        <v>2</v>
      </c>
      <c r="N4" s="3" t="s">
        <v>81</v>
      </c>
      <c r="O4" s="3" t="s">
        <v>64</v>
      </c>
      <c r="P4" s="3" t="s">
        <v>66</v>
      </c>
      <c r="Q4" s="3" t="s">
        <v>82</v>
      </c>
      <c r="R4" s="3" t="s">
        <v>83</v>
      </c>
      <c r="S4" s="3" t="s">
        <v>70</v>
      </c>
    </row>
    <row r="5" customFormat="false" ht="35.05" hidden="false" customHeight="false" outlineLevel="0" collapsed="false">
      <c r="A5" s="51" t="s">
        <v>2723</v>
      </c>
      <c r="B5" s="51" t="n">
        <v>1</v>
      </c>
      <c r="C5" s="52" t="s">
        <v>2724</v>
      </c>
      <c r="D5" s="53" t="s">
        <v>2725</v>
      </c>
      <c r="E5" s="54" t="s">
        <v>2726</v>
      </c>
      <c r="F5" s="54" t="s">
        <v>27</v>
      </c>
      <c r="G5" s="54" t="s">
        <v>2727</v>
      </c>
      <c r="H5" s="54" t="s">
        <v>2728</v>
      </c>
      <c r="I5" s="53" t="s">
        <v>2729</v>
      </c>
      <c r="J5" s="54" t="s">
        <v>2730</v>
      </c>
      <c r="K5" s="53" t="s">
        <v>2731</v>
      </c>
      <c r="L5" s="55" t="s">
        <v>8</v>
      </c>
      <c r="M5" s="66" t="n">
        <v>4</v>
      </c>
      <c r="N5" s="67" t="s">
        <v>2732</v>
      </c>
      <c r="O5" s="51" t="s">
        <v>95</v>
      </c>
      <c r="P5" s="54"/>
      <c r="Q5" s="54" t="s">
        <v>131</v>
      </c>
      <c r="R5" s="58" t="s">
        <v>132</v>
      </c>
      <c r="S5" s="54" t="s">
        <v>98</v>
      </c>
    </row>
    <row r="6" customFormat="false" ht="35.05" hidden="false" customHeight="false" outlineLevel="0" collapsed="false">
      <c r="A6" s="51" t="s">
        <v>2733</v>
      </c>
      <c r="B6" s="51" t="n">
        <v>2</v>
      </c>
      <c r="C6" s="52" t="s">
        <v>2734</v>
      </c>
      <c r="D6" s="53" t="s">
        <v>2735</v>
      </c>
      <c r="E6" s="54" t="s">
        <v>2736</v>
      </c>
      <c r="F6" s="54" t="s">
        <v>2737</v>
      </c>
      <c r="G6" s="54" t="s">
        <v>2738</v>
      </c>
      <c r="H6" s="54" t="s">
        <v>2739</v>
      </c>
      <c r="I6" s="53" t="s">
        <v>2740</v>
      </c>
      <c r="J6" s="54" t="s">
        <v>2741</v>
      </c>
      <c r="K6" s="53" t="s">
        <v>2742</v>
      </c>
      <c r="L6" s="55" t="s">
        <v>8</v>
      </c>
      <c r="M6" s="66" t="n">
        <v>4</v>
      </c>
      <c r="N6" s="67" t="s">
        <v>2732</v>
      </c>
      <c r="O6" s="51" t="s">
        <v>95</v>
      </c>
      <c r="P6" s="54"/>
      <c r="Q6" s="54" t="s">
        <v>131</v>
      </c>
      <c r="R6" s="58" t="s">
        <v>132</v>
      </c>
      <c r="S6" s="54" t="s">
        <v>98</v>
      </c>
    </row>
    <row r="7" customFormat="false" ht="35.05" hidden="false" customHeight="false" outlineLevel="0" collapsed="false">
      <c r="A7" s="51" t="s">
        <v>2743</v>
      </c>
      <c r="B7" s="51" t="n">
        <v>3</v>
      </c>
      <c r="C7" s="52" t="s">
        <v>2744</v>
      </c>
      <c r="D7" s="53" t="s">
        <v>2745</v>
      </c>
      <c r="E7" s="54" t="s">
        <v>2746</v>
      </c>
      <c r="F7" s="54" t="s">
        <v>27</v>
      </c>
      <c r="G7" s="54" t="s">
        <v>2747</v>
      </c>
      <c r="H7" s="54" t="s">
        <v>2748</v>
      </c>
      <c r="I7" s="53" t="s">
        <v>2749</v>
      </c>
      <c r="J7" s="54" t="s">
        <v>2750</v>
      </c>
      <c r="K7" s="53" t="s">
        <v>2751</v>
      </c>
      <c r="L7" s="55" t="s">
        <v>8</v>
      </c>
      <c r="M7" s="66" t="n">
        <v>4</v>
      </c>
      <c r="N7" s="67" t="s">
        <v>2732</v>
      </c>
      <c r="O7" s="59" t="s">
        <v>161</v>
      </c>
      <c r="P7" s="54" t="s">
        <v>2752</v>
      </c>
      <c r="Q7" s="54" t="s">
        <v>516</v>
      </c>
      <c r="R7" s="58" t="s">
        <v>517</v>
      </c>
      <c r="S7" s="54" t="s">
        <v>98</v>
      </c>
    </row>
    <row r="8" customFormat="false" ht="46.25" hidden="false" customHeight="false" outlineLevel="0" collapsed="false">
      <c r="A8" s="51" t="s">
        <v>2753</v>
      </c>
      <c r="B8" s="51" t="n">
        <v>4</v>
      </c>
      <c r="C8" s="52" t="s">
        <v>2754</v>
      </c>
      <c r="D8" s="53" t="s">
        <v>2755</v>
      </c>
      <c r="E8" s="54" t="s">
        <v>2756</v>
      </c>
      <c r="F8" s="54" t="s">
        <v>2737</v>
      </c>
      <c r="G8" s="54" t="s">
        <v>2757</v>
      </c>
      <c r="H8" s="54" t="s">
        <v>2758</v>
      </c>
      <c r="I8" s="53" t="s">
        <v>2759</v>
      </c>
      <c r="J8" s="54" t="s">
        <v>2760</v>
      </c>
      <c r="K8" s="53" t="s">
        <v>2761</v>
      </c>
      <c r="L8" s="55" t="s">
        <v>8</v>
      </c>
      <c r="M8" s="66" t="n">
        <v>4</v>
      </c>
      <c r="N8" s="67" t="s">
        <v>2732</v>
      </c>
      <c r="O8" s="51" t="s">
        <v>95</v>
      </c>
      <c r="P8" s="54"/>
      <c r="Q8" s="54" t="s">
        <v>109</v>
      </c>
      <c r="R8" s="58" t="s">
        <v>110</v>
      </c>
      <c r="S8" s="54" t="s">
        <v>98</v>
      </c>
    </row>
    <row r="9" customFormat="false" ht="46.25" hidden="false" customHeight="false" outlineLevel="0" collapsed="false">
      <c r="A9" s="51" t="s">
        <v>2762</v>
      </c>
      <c r="B9" s="51" t="n">
        <v>5</v>
      </c>
      <c r="C9" s="52" t="s">
        <v>2763</v>
      </c>
      <c r="D9" s="53" t="s">
        <v>2764</v>
      </c>
      <c r="E9" s="54" t="s">
        <v>2765</v>
      </c>
      <c r="F9" s="54" t="s">
        <v>103</v>
      </c>
      <c r="G9" s="54" t="s">
        <v>2766</v>
      </c>
      <c r="H9" s="54" t="s">
        <v>2767</v>
      </c>
      <c r="I9" s="53" t="s">
        <v>2768</v>
      </c>
      <c r="J9" s="54" t="s">
        <v>2769</v>
      </c>
      <c r="K9" s="53" t="s">
        <v>2770</v>
      </c>
      <c r="L9" s="55" t="s">
        <v>8</v>
      </c>
      <c r="M9" s="66" t="n">
        <v>4</v>
      </c>
      <c r="N9" s="67" t="s">
        <v>2732</v>
      </c>
      <c r="O9" s="51" t="s">
        <v>95</v>
      </c>
      <c r="P9" s="54"/>
      <c r="Q9" s="54" t="s">
        <v>109</v>
      </c>
      <c r="R9" s="58" t="s">
        <v>110</v>
      </c>
      <c r="S9" s="54" t="s">
        <v>98</v>
      </c>
    </row>
    <row r="10" customFormat="false" ht="35.05" hidden="false" customHeight="false" outlineLevel="0" collapsed="false">
      <c r="A10" s="51" t="s">
        <v>2771</v>
      </c>
      <c r="B10" s="51" t="n">
        <v>6</v>
      </c>
      <c r="C10" s="52" t="s">
        <v>2772</v>
      </c>
      <c r="D10" s="53" t="s">
        <v>2773</v>
      </c>
      <c r="E10" s="54" t="s">
        <v>2774</v>
      </c>
      <c r="F10" s="54" t="s">
        <v>2775</v>
      </c>
      <c r="G10" s="54" t="s">
        <v>2776</v>
      </c>
      <c r="H10" s="54" t="s">
        <v>2777</v>
      </c>
      <c r="I10" s="53" t="s">
        <v>2778</v>
      </c>
      <c r="J10" s="54" t="s">
        <v>2779</v>
      </c>
      <c r="K10" s="53" t="s">
        <v>2780</v>
      </c>
      <c r="L10" s="55" t="s">
        <v>8</v>
      </c>
      <c r="M10" s="66" t="n">
        <v>4</v>
      </c>
      <c r="N10" s="67" t="s">
        <v>2732</v>
      </c>
      <c r="O10" s="59" t="s">
        <v>161</v>
      </c>
      <c r="P10" s="54" t="s">
        <v>2781</v>
      </c>
      <c r="Q10" s="54" t="s">
        <v>131</v>
      </c>
      <c r="R10" s="58" t="s">
        <v>132</v>
      </c>
      <c r="S10" s="54" t="s">
        <v>98</v>
      </c>
    </row>
    <row r="11" customFormat="false" ht="35.05" hidden="false" customHeight="false" outlineLevel="0" collapsed="false">
      <c r="A11" s="51" t="s">
        <v>2782</v>
      </c>
      <c r="B11" s="51" t="n">
        <v>7</v>
      </c>
      <c r="C11" s="52" t="s">
        <v>2783</v>
      </c>
      <c r="D11" s="53" t="s">
        <v>2784</v>
      </c>
      <c r="E11" s="54" t="s">
        <v>2785</v>
      </c>
      <c r="F11" s="54" t="s">
        <v>2737</v>
      </c>
      <c r="G11" s="54" t="s">
        <v>2786</v>
      </c>
      <c r="H11" s="54" t="s">
        <v>2787</v>
      </c>
      <c r="I11" s="53" t="s">
        <v>2788</v>
      </c>
      <c r="J11" s="54" t="s">
        <v>2789</v>
      </c>
      <c r="K11" s="53" t="s">
        <v>2790</v>
      </c>
      <c r="L11" s="55" t="s">
        <v>8</v>
      </c>
      <c r="M11" s="66" t="n">
        <v>4</v>
      </c>
      <c r="N11" s="67" t="s">
        <v>2732</v>
      </c>
      <c r="O11" s="51" t="s">
        <v>95</v>
      </c>
      <c r="P11" s="54"/>
      <c r="Q11" s="54" t="s">
        <v>96</v>
      </c>
      <c r="R11" s="58" t="s">
        <v>97</v>
      </c>
      <c r="S11" s="54" t="s">
        <v>98</v>
      </c>
    </row>
    <row r="12" customFormat="false" ht="46.25" hidden="false" customHeight="false" outlineLevel="0" collapsed="false">
      <c r="A12" s="51" t="s">
        <v>2791</v>
      </c>
      <c r="B12" s="51" t="n">
        <v>8</v>
      </c>
      <c r="C12" s="52" t="s">
        <v>2792</v>
      </c>
      <c r="D12" s="53" t="s">
        <v>2793</v>
      </c>
      <c r="E12" s="54" t="s">
        <v>2794</v>
      </c>
      <c r="F12" s="54" t="s">
        <v>27</v>
      </c>
      <c r="G12" s="54" t="s">
        <v>2795</v>
      </c>
      <c r="H12" s="54" t="s">
        <v>2796</v>
      </c>
      <c r="I12" s="53" t="s">
        <v>2797</v>
      </c>
      <c r="J12" s="54" t="s">
        <v>2798</v>
      </c>
      <c r="K12" s="53" t="s">
        <v>2799</v>
      </c>
      <c r="L12" s="55" t="s">
        <v>8</v>
      </c>
      <c r="M12" s="66" t="n">
        <v>4</v>
      </c>
      <c r="N12" s="67" t="s">
        <v>2732</v>
      </c>
      <c r="O12" s="51" t="s">
        <v>95</v>
      </c>
      <c r="P12" s="54"/>
      <c r="Q12" s="54" t="s">
        <v>441</v>
      </c>
      <c r="R12" s="58" t="s">
        <v>442</v>
      </c>
      <c r="S12" s="54" t="s">
        <v>98</v>
      </c>
    </row>
    <row r="13" customFormat="false" ht="46.25" hidden="false" customHeight="false" outlineLevel="0" collapsed="false">
      <c r="A13" s="51" t="s">
        <v>2800</v>
      </c>
      <c r="B13" s="51" t="n">
        <v>9</v>
      </c>
      <c r="C13" s="52" t="s">
        <v>2801</v>
      </c>
      <c r="D13" s="53" t="s">
        <v>2802</v>
      </c>
      <c r="E13" s="54" t="s">
        <v>2803</v>
      </c>
      <c r="F13" s="54" t="s">
        <v>249</v>
      </c>
      <c r="G13" s="54" t="s">
        <v>2804</v>
      </c>
      <c r="H13" s="54" t="s">
        <v>2805</v>
      </c>
      <c r="I13" s="53" t="s">
        <v>2806</v>
      </c>
      <c r="J13" s="54" t="s">
        <v>2807</v>
      </c>
      <c r="K13" s="53" t="s">
        <v>2808</v>
      </c>
      <c r="L13" s="55" t="s">
        <v>8</v>
      </c>
      <c r="M13" s="66" t="n">
        <v>4</v>
      </c>
      <c r="N13" s="67" t="s">
        <v>2732</v>
      </c>
      <c r="O13" s="59" t="s">
        <v>161</v>
      </c>
      <c r="P13" s="54" t="s">
        <v>2809</v>
      </c>
      <c r="Q13" s="54" t="s">
        <v>441</v>
      </c>
      <c r="R13" s="58" t="s">
        <v>442</v>
      </c>
      <c r="S13" s="54" t="s">
        <v>98</v>
      </c>
    </row>
    <row r="14" customFormat="false" ht="35.05" hidden="false" customHeight="false" outlineLevel="0" collapsed="false">
      <c r="A14" s="51" t="s">
        <v>2810</v>
      </c>
      <c r="B14" s="51" t="n">
        <v>10</v>
      </c>
      <c r="C14" s="52" t="s">
        <v>2811</v>
      </c>
      <c r="D14" s="53" t="s">
        <v>2812</v>
      </c>
      <c r="E14" s="54" t="s">
        <v>2813</v>
      </c>
      <c r="F14" s="54" t="s">
        <v>249</v>
      </c>
      <c r="G14" s="54" t="s">
        <v>2814</v>
      </c>
      <c r="H14" s="54" t="s">
        <v>2815</v>
      </c>
      <c r="I14" s="53" t="s">
        <v>2816</v>
      </c>
      <c r="J14" s="54" t="s">
        <v>2817</v>
      </c>
      <c r="K14" s="53" t="s">
        <v>2818</v>
      </c>
      <c r="L14" s="60" t="s">
        <v>9</v>
      </c>
      <c r="M14" s="66" t="n">
        <v>4</v>
      </c>
      <c r="N14" s="67" t="s">
        <v>2732</v>
      </c>
      <c r="O14" s="51" t="s">
        <v>95</v>
      </c>
      <c r="P14" s="54"/>
      <c r="Q14" s="54" t="s">
        <v>516</v>
      </c>
      <c r="R14" s="58" t="s">
        <v>517</v>
      </c>
      <c r="S14" s="54" t="s">
        <v>98</v>
      </c>
    </row>
    <row r="15" customFormat="false" ht="35.05" hidden="false" customHeight="false" outlineLevel="0" collapsed="false">
      <c r="A15" s="51" t="s">
        <v>2819</v>
      </c>
      <c r="B15" s="51" t="n">
        <v>11</v>
      </c>
      <c r="C15" s="52" t="s">
        <v>2820</v>
      </c>
      <c r="D15" s="53" t="s">
        <v>2821</v>
      </c>
      <c r="E15" s="54" t="s">
        <v>2822</v>
      </c>
      <c r="F15" s="54" t="s">
        <v>103</v>
      </c>
      <c r="G15" s="54" t="s">
        <v>2823</v>
      </c>
      <c r="H15" s="54" t="s">
        <v>2824</v>
      </c>
      <c r="I15" s="53" t="s">
        <v>2825</v>
      </c>
      <c r="J15" s="54" t="s">
        <v>2826</v>
      </c>
      <c r="K15" s="53" t="s">
        <v>2827</v>
      </c>
      <c r="L15" s="60" t="s">
        <v>9</v>
      </c>
      <c r="M15" s="66" t="n">
        <v>4</v>
      </c>
      <c r="N15" s="67" t="s">
        <v>2732</v>
      </c>
      <c r="O15" s="51" t="s">
        <v>95</v>
      </c>
      <c r="P15" s="54"/>
      <c r="Q15" s="54" t="s">
        <v>131</v>
      </c>
      <c r="R15" s="58" t="s">
        <v>132</v>
      </c>
      <c r="S15" s="54" t="s">
        <v>98</v>
      </c>
    </row>
    <row r="16" customFormat="false" ht="35.05" hidden="false" customHeight="false" outlineLevel="0" collapsed="false">
      <c r="A16" s="51" t="s">
        <v>2828</v>
      </c>
      <c r="B16" s="51" t="n">
        <v>12</v>
      </c>
      <c r="C16" s="52" t="s">
        <v>2829</v>
      </c>
      <c r="D16" s="53" t="s">
        <v>2830</v>
      </c>
      <c r="E16" s="54" t="s">
        <v>2831</v>
      </c>
      <c r="F16" s="54" t="s">
        <v>103</v>
      </c>
      <c r="G16" s="54" t="s">
        <v>2832</v>
      </c>
      <c r="H16" s="54" t="s">
        <v>2833</v>
      </c>
      <c r="I16" s="53" t="s">
        <v>2834</v>
      </c>
      <c r="J16" s="54" t="s">
        <v>2835</v>
      </c>
      <c r="K16" s="53" t="s">
        <v>2836</v>
      </c>
      <c r="L16" s="60" t="s">
        <v>9</v>
      </c>
      <c r="M16" s="66" t="n">
        <v>4</v>
      </c>
      <c r="N16" s="67" t="s">
        <v>2732</v>
      </c>
      <c r="O16" s="51" t="s">
        <v>95</v>
      </c>
      <c r="P16" s="54"/>
      <c r="Q16" s="54" t="s">
        <v>131</v>
      </c>
      <c r="R16" s="58" t="s">
        <v>132</v>
      </c>
      <c r="S16" s="54" t="s">
        <v>98</v>
      </c>
    </row>
    <row r="17" customFormat="false" ht="35.05" hidden="false" customHeight="false" outlineLevel="0" collapsed="false">
      <c r="A17" s="51" t="s">
        <v>2837</v>
      </c>
      <c r="B17" s="51" t="n">
        <v>13</v>
      </c>
      <c r="C17" s="52" t="s">
        <v>2838</v>
      </c>
      <c r="D17" s="53" t="s">
        <v>2839</v>
      </c>
      <c r="E17" s="54" t="s">
        <v>2840</v>
      </c>
      <c r="F17" s="54" t="s">
        <v>823</v>
      </c>
      <c r="G17" s="54" t="s">
        <v>2841</v>
      </c>
      <c r="H17" s="54" t="s">
        <v>2842</v>
      </c>
      <c r="I17" s="53" t="s">
        <v>2843</v>
      </c>
      <c r="J17" s="54" t="s">
        <v>2844</v>
      </c>
      <c r="K17" s="53" t="s">
        <v>2845</v>
      </c>
      <c r="L17" s="60" t="s">
        <v>9</v>
      </c>
      <c r="M17" s="66" t="n">
        <v>4</v>
      </c>
      <c r="N17" s="67" t="s">
        <v>2732</v>
      </c>
      <c r="O17" s="51" t="s">
        <v>95</v>
      </c>
      <c r="P17" s="54"/>
      <c r="Q17" s="54" t="s">
        <v>131</v>
      </c>
      <c r="R17" s="58" t="s">
        <v>132</v>
      </c>
      <c r="S17" s="54" t="s">
        <v>98</v>
      </c>
    </row>
    <row r="18" customFormat="false" ht="35.05" hidden="false" customHeight="false" outlineLevel="0" collapsed="false">
      <c r="A18" s="51" t="s">
        <v>2846</v>
      </c>
      <c r="B18" s="51" t="n">
        <v>14</v>
      </c>
      <c r="C18" s="52" t="s">
        <v>2847</v>
      </c>
      <c r="D18" s="53" t="s">
        <v>2848</v>
      </c>
      <c r="E18" s="54" t="s">
        <v>2849</v>
      </c>
      <c r="F18" s="54" t="s">
        <v>27</v>
      </c>
      <c r="G18" s="54" t="s">
        <v>2850</v>
      </c>
      <c r="H18" s="54" t="s">
        <v>2851</v>
      </c>
      <c r="I18" s="53" t="s">
        <v>2852</v>
      </c>
      <c r="J18" s="54" t="s">
        <v>2853</v>
      </c>
      <c r="K18" s="53" t="s">
        <v>2854</v>
      </c>
      <c r="L18" s="60" t="s">
        <v>9</v>
      </c>
      <c r="M18" s="66" t="n">
        <v>4</v>
      </c>
      <c r="N18" s="67" t="s">
        <v>2732</v>
      </c>
      <c r="O18" s="51" t="s">
        <v>95</v>
      </c>
      <c r="P18" s="54"/>
      <c r="Q18" s="54" t="s">
        <v>131</v>
      </c>
      <c r="R18" s="58" t="s">
        <v>132</v>
      </c>
      <c r="S18" s="54" t="s">
        <v>98</v>
      </c>
    </row>
    <row r="19" customFormat="false" ht="35.05" hidden="false" customHeight="false" outlineLevel="0" collapsed="false">
      <c r="A19" s="51" t="s">
        <v>2855</v>
      </c>
      <c r="B19" s="51" t="n">
        <v>15</v>
      </c>
      <c r="C19" s="52" t="s">
        <v>2856</v>
      </c>
      <c r="D19" s="53" t="s">
        <v>2857</v>
      </c>
      <c r="E19" s="54" t="s">
        <v>2858</v>
      </c>
      <c r="F19" s="54" t="s">
        <v>27</v>
      </c>
      <c r="G19" s="54" t="s">
        <v>2859</v>
      </c>
      <c r="H19" s="54" t="s">
        <v>2860</v>
      </c>
      <c r="I19" s="53" t="s">
        <v>2861</v>
      </c>
      <c r="J19" s="54" t="s">
        <v>2862</v>
      </c>
      <c r="K19" s="53" t="s">
        <v>2863</v>
      </c>
      <c r="L19" s="60" t="s">
        <v>9</v>
      </c>
      <c r="M19" s="66" t="n">
        <v>4</v>
      </c>
      <c r="N19" s="67" t="s">
        <v>2732</v>
      </c>
      <c r="O19" s="59" t="s">
        <v>161</v>
      </c>
      <c r="P19" s="54" t="s">
        <v>2864</v>
      </c>
      <c r="Q19" s="54" t="s">
        <v>96</v>
      </c>
      <c r="R19" s="58" t="s">
        <v>97</v>
      </c>
      <c r="S19" s="54" t="s">
        <v>98</v>
      </c>
    </row>
    <row r="20" customFormat="false" ht="35.05" hidden="false" customHeight="false" outlineLevel="0" collapsed="false">
      <c r="A20" s="51" t="s">
        <v>2865</v>
      </c>
      <c r="B20" s="51" t="n">
        <v>16</v>
      </c>
      <c r="C20" s="52" t="s">
        <v>2866</v>
      </c>
      <c r="D20" s="53" t="s">
        <v>2867</v>
      </c>
      <c r="E20" s="54" t="s">
        <v>2868</v>
      </c>
      <c r="F20" s="54" t="s">
        <v>176</v>
      </c>
      <c r="G20" s="54" t="s">
        <v>2869</v>
      </c>
      <c r="H20" s="54" t="s">
        <v>2870</v>
      </c>
      <c r="I20" s="53" t="s">
        <v>2871</v>
      </c>
      <c r="J20" s="54" t="s">
        <v>2872</v>
      </c>
      <c r="K20" s="53" t="s">
        <v>2873</v>
      </c>
      <c r="L20" s="60" t="s">
        <v>9</v>
      </c>
      <c r="M20" s="66" t="n">
        <v>4</v>
      </c>
      <c r="N20" s="67" t="s">
        <v>2732</v>
      </c>
      <c r="O20" s="51" t="s">
        <v>95</v>
      </c>
      <c r="P20" s="54"/>
      <c r="Q20" s="54" t="s">
        <v>96</v>
      </c>
      <c r="R20" s="58" t="s">
        <v>97</v>
      </c>
      <c r="S20" s="54" t="s">
        <v>98</v>
      </c>
    </row>
    <row r="21" customFormat="false" ht="35.05" hidden="false" customHeight="false" outlineLevel="0" collapsed="false">
      <c r="A21" s="51" t="s">
        <v>2874</v>
      </c>
      <c r="B21" s="51" t="n">
        <v>17</v>
      </c>
      <c r="C21" s="52" t="s">
        <v>2875</v>
      </c>
      <c r="D21" s="53" t="s">
        <v>2876</v>
      </c>
      <c r="E21" s="54" t="s">
        <v>2877</v>
      </c>
      <c r="F21" s="54" t="s">
        <v>27</v>
      </c>
      <c r="G21" s="54" t="s">
        <v>2878</v>
      </c>
      <c r="H21" s="54" t="s">
        <v>2879</v>
      </c>
      <c r="I21" s="53" t="s">
        <v>2880</v>
      </c>
      <c r="J21" s="54" t="s">
        <v>2881</v>
      </c>
      <c r="K21" s="53" t="s">
        <v>2882</v>
      </c>
      <c r="L21" s="60" t="s">
        <v>9</v>
      </c>
      <c r="M21" s="66" t="n">
        <v>4</v>
      </c>
      <c r="N21" s="67" t="s">
        <v>2732</v>
      </c>
      <c r="O21" s="59" t="s">
        <v>161</v>
      </c>
      <c r="P21" s="54" t="s">
        <v>2752</v>
      </c>
      <c r="Q21" s="54" t="s">
        <v>516</v>
      </c>
      <c r="R21" s="58" t="s">
        <v>517</v>
      </c>
      <c r="S21" s="54" t="s">
        <v>98</v>
      </c>
    </row>
    <row r="22" customFormat="false" ht="35.05" hidden="false" customHeight="false" outlineLevel="0" collapsed="false">
      <c r="A22" s="51" t="s">
        <v>2883</v>
      </c>
      <c r="B22" s="51" t="n">
        <v>18</v>
      </c>
      <c r="C22" s="52" t="s">
        <v>2884</v>
      </c>
      <c r="D22" s="53" t="s">
        <v>2885</v>
      </c>
      <c r="E22" s="54" t="s">
        <v>2886</v>
      </c>
      <c r="F22" s="54" t="s">
        <v>2537</v>
      </c>
      <c r="G22" s="54" t="s">
        <v>2887</v>
      </c>
      <c r="H22" s="54" t="s">
        <v>2888</v>
      </c>
      <c r="I22" s="53" t="s">
        <v>2889</v>
      </c>
      <c r="J22" s="54" t="s">
        <v>2890</v>
      </c>
      <c r="K22" s="53" t="s">
        <v>2891</v>
      </c>
      <c r="L22" s="60" t="s">
        <v>9</v>
      </c>
      <c r="M22" s="66" t="n">
        <v>4</v>
      </c>
      <c r="N22" s="67" t="s">
        <v>2732</v>
      </c>
      <c r="O22" s="51" t="s">
        <v>95</v>
      </c>
      <c r="P22" s="54"/>
      <c r="Q22" s="54" t="s">
        <v>96</v>
      </c>
      <c r="R22" s="58" t="s">
        <v>97</v>
      </c>
      <c r="S22" s="54" t="s">
        <v>98</v>
      </c>
    </row>
    <row r="23" customFormat="false" ht="35.05" hidden="false" customHeight="false" outlineLevel="0" collapsed="false">
      <c r="A23" s="51" t="s">
        <v>2892</v>
      </c>
      <c r="B23" s="51" t="n">
        <v>19</v>
      </c>
      <c r="C23" s="52" t="s">
        <v>2893</v>
      </c>
      <c r="D23" s="53" t="s">
        <v>2894</v>
      </c>
      <c r="E23" s="54" t="s">
        <v>2895</v>
      </c>
      <c r="F23" s="54" t="s">
        <v>137</v>
      </c>
      <c r="G23" s="54" t="s">
        <v>2896</v>
      </c>
      <c r="H23" s="54" t="s">
        <v>2897</v>
      </c>
      <c r="I23" s="53" t="s">
        <v>2898</v>
      </c>
      <c r="J23" s="54" t="s">
        <v>2899</v>
      </c>
      <c r="K23" s="53" t="s">
        <v>2900</v>
      </c>
      <c r="L23" s="60" t="s">
        <v>9</v>
      </c>
      <c r="M23" s="66" t="n">
        <v>4</v>
      </c>
      <c r="N23" s="67" t="s">
        <v>2732</v>
      </c>
      <c r="O23" s="51" t="s">
        <v>95</v>
      </c>
      <c r="P23" s="54"/>
      <c r="Q23" s="54" t="s">
        <v>96</v>
      </c>
      <c r="R23" s="58" t="s">
        <v>97</v>
      </c>
      <c r="S23" s="54" t="s">
        <v>98</v>
      </c>
    </row>
    <row r="24" customFormat="false" ht="35.05" hidden="false" customHeight="false" outlineLevel="0" collapsed="false">
      <c r="A24" s="51" t="s">
        <v>2901</v>
      </c>
      <c r="B24" s="51" t="n">
        <v>20</v>
      </c>
      <c r="C24" s="52" t="s">
        <v>2902</v>
      </c>
      <c r="D24" s="53" t="s">
        <v>2903</v>
      </c>
      <c r="E24" s="54" t="s">
        <v>2904</v>
      </c>
      <c r="F24" s="54" t="s">
        <v>137</v>
      </c>
      <c r="G24" s="54" t="s">
        <v>2905</v>
      </c>
      <c r="H24" s="54" t="s">
        <v>2906</v>
      </c>
      <c r="I24" s="53" t="s">
        <v>2907</v>
      </c>
      <c r="J24" s="54" t="s">
        <v>2908</v>
      </c>
      <c r="K24" s="53" t="s">
        <v>2909</v>
      </c>
      <c r="L24" s="60" t="s">
        <v>9</v>
      </c>
      <c r="M24" s="66" t="n">
        <v>4</v>
      </c>
      <c r="N24" s="67" t="s">
        <v>2732</v>
      </c>
      <c r="O24" s="51" t="s">
        <v>95</v>
      </c>
      <c r="P24" s="54"/>
      <c r="Q24" s="54" t="s">
        <v>96</v>
      </c>
      <c r="R24" s="58" t="s">
        <v>97</v>
      </c>
      <c r="S24" s="54" t="s">
        <v>98</v>
      </c>
    </row>
    <row r="25" customFormat="false" ht="46.25" hidden="false" customHeight="false" outlineLevel="0" collapsed="false">
      <c r="A25" s="51" t="s">
        <v>2910</v>
      </c>
      <c r="B25" s="51" t="n">
        <v>21</v>
      </c>
      <c r="C25" s="52" t="s">
        <v>2911</v>
      </c>
      <c r="D25" s="53" t="s">
        <v>2912</v>
      </c>
      <c r="E25" s="54" t="s">
        <v>2913</v>
      </c>
      <c r="F25" s="54" t="s">
        <v>27</v>
      </c>
      <c r="G25" s="54" t="s">
        <v>2914</v>
      </c>
      <c r="H25" s="54" t="s">
        <v>2915</v>
      </c>
      <c r="I25" s="53" t="s">
        <v>2916</v>
      </c>
      <c r="J25" s="54" t="s">
        <v>2917</v>
      </c>
      <c r="K25" s="53" t="s">
        <v>2918</v>
      </c>
      <c r="L25" s="60" t="s">
        <v>9</v>
      </c>
      <c r="M25" s="66" t="n">
        <v>4</v>
      </c>
      <c r="N25" s="67" t="s">
        <v>2732</v>
      </c>
      <c r="O25" s="59" t="s">
        <v>161</v>
      </c>
      <c r="P25" s="54" t="s">
        <v>2919</v>
      </c>
      <c r="Q25" s="54" t="s">
        <v>621</v>
      </c>
      <c r="R25" s="58" t="s">
        <v>622</v>
      </c>
      <c r="S25" s="54" t="s">
        <v>98</v>
      </c>
    </row>
    <row r="26" customFormat="false" ht="35.05" hidden="false" customHeight="false" outlineLevel="0" collapsed="false">
      <c r="A26" s="51" t="s">
        <v>2920</v>
      </c>
      <c r="B26" s="51" t="n">
        <v>22</v>
      </c>
      <c r="C26" s="52" t="s">
        <v>2921</v>
      </c>
      <c r="D26" s="53" t="s">
        <v>2922</v>
      </c>
      <c r="E26" s="54" t="s">
        <v>2923</v>
      </c>
      <c r="F26" s="54" t="s">
        <v>249</v>
      </c>
      <c r="G26" s="54" t="s">
        <v>2924</v>
      </c>
      <c r="H26" s="54" t="s">
        <v>2925</v>
      </c>
      <c r="I26" s="53" t="s">
        <v>2926</v>
      </c>
      <c r="J26" s="54" t="s">
        <v>2927</v>
      </c>
      <c r="K26" s="53" t="s">
        <v>2928</v>
      </c>
      <c r="L26" s="61" t="s">
        <v>10</v>
      </c>
      <c r="M26" s="66" t="n">
        <v>4</v>
      </c>
      <c r="N26" s="67" t="s">
        <v>2732</v>
      </c>
      <c r="O26" s="51" t="s">
        <v>95</v>
      </c>
      <c r="P26" s="54"/>
      <c r="Q26" s="54" t="s">
        <v>131</v>
      </c>
      <c r="R26" s="58" t="s">
        <v>132</v>
      </c>
      <c r="S26" s="54" t="s">
        <v>98</v>
      </c>
    </row>
    <row r="27" customFormat="false" ht="35.05" hidden="false" customHeight="false" outlineLevel="0" collapsed="false">
      <c r="A27" s="51" t="s">
        <v>2929</v>
      </c>
      <c r="B27" s="51" t="n">
        <v>23</v>
      </c>
      <c r="C27" s="52" t="s">
        <v>2930</v>
      </c>
      <c r="D27" s="53" t="s">
        <v>2931</v>
      </c>
      <c r="E27" s="54" t="s">
        <v>2932</v>
      </c>
      <c r="F27" s="54" t="s">
        <v>103</v>
      </c>
      <c r="G27" s="54" t="s">
        <v>2933</v>
      </c>
      <c r="H27" s="54" t="s">
        <v>2934</v>
      </c>
      <c r="I27" s="53" t="s">
        <v>2935</v>
      </c>
      <c r="J27" s="54" t="s">
        <v>2936</v>
      </c>
      <c r="K27" s="53" t="s">
        <v>2937</v>
      </c>
      <c r="L27" s="61" t="s">
        <v>10</v>
      </c>
      <c r="M27" s="66" t="n">
        <v>4</v>
      </c>
      <c r="N27" s="67" t="s">
        <v>2732</v>
      </c>
      <c r="O27" s="51" t="s">
        <v>95</v>
      </c>
      <c r="P27" s="54"/>
      <c r="Q27" s="54" t="s">
        <v>131</v>
      </c>
      <c r="R27" s="58" t="s">
        <v>132</v>
      </c>
      <c r="S27" s="54" t="s">
        <v>98</v>
      </c>
    </row>
    <row r="28" customFormat="false" ht="35.05" hidden="false" customHeight="false" outlineLevel="0" collapsed="false">
      <c r="A28" s="51" t="s">
        <v>2938</v>
      </c>
      <c r="B28" s="51" t="n">
        <v>24</v>
      </c>
      <c r="C28" s="52" t="s">
        <v>2939</v>
      </c>
      <c r="D28" s="53" t="s">
        <v>2940</v>
      </c>
      <c r="E28" s="54" t="s">
        <v>2941</v>
      </c>
      <c r="F28" s="54" t="s">
        <v>137</v>
      </c>
      <c r="G28" s="54" t="s">
        <v>2942</v>
      </c>
      <c r="H28" s="54" t="s">
        <v>2943</v>
      </c>
      <c r="I28" s="53" t="s">
        <v>2944</v>
      </c>
      <c r="J28" s="54" t="s">
        <v>2945</v>
      </c>
      <c r="K28" s="53" t="s">
        <v>2946</v>
      </c>
      <c r="L28" s="61" t="s">
        <v>10</v>
      </c>
      <c r="M28" s="66" t="n">
        <v>4</v>
      </c>
      <c r="N28" s="67" t="s">
        <v>2732</v>
      </c>
      <c r="O28" s="51" t="s">
        <v>95</v>
      </c>
      <c r="P28" s="54"/>
      <c r="Q28" s="54" t="s">
        <v>96</v>
      </c>
      <c r="R28" s="58" t="s">
        <v>97</v>
      </c>
      <c r="S28" s="54" t="s">
        <v>98</v>
      </c>
    </row>
    <row r="29" customFormat="false" ht="35.05" hidden="false" customHeight="false" outlineLevel="0" collapsed="false">
      <c r="A29" s="51" t="s">
        <v>2947</v>
      </c>
      <c r="B29" s="51" t="n">
        <v>25</v>
      </c>
      <c r="C29" s="52" t="s">
        <v>2948</v>
      </c>
      <c r="D29" s="53" t="s">
        <v>2949</v>
      </c>
      <c r="E29" s="54" t="s">
        <v>2950</v>
      </c>
      <c r="F29" s="54" t="s">
        <v>27</v>
      </c>
      <c r="G29" s="54" t="s">
        <v>2951</v>
      </c>
      <c r="H29" s="54" t="s">
        <v>2952</v>
      </c>
      <c r="I29" s="53" t="s">
        <v>2953</v>
      </c>
      <c r="J29" s="54" t="s">
        <v>2954</v>
      </c>
      <c r="K29" s="53" t="s">
        <v>2955</v>
      </c>
      <c r="L29" s="61" t="s">
        <v>10</v>
      </c>
      <c r="M29" s="66" t="n">
        <v>4</v>
      </c>
      <c r="N29" s="67" t="s">
        <v>2732</v>
      </c>
      <c r="O29" s="51" t="s">
        <v>95</v>
      </c>
      <c r="P29" s="54"/>
      <c r="Q29" s="54" t="s">
        <v>131</v>
      </c>
      <c r="R29" s="58" t="s">
        <v>132</v>
      </c>
      <c r="S29" s="54" t="s">
        <v>98</v>
      </c>
    </row>
    <row r="30" customFormat="false" ht="35.05" hidden="false" customHeight="false" outlineLevel="0" collapsed="false">
      <c r="A30" s="51" t="s">
        <v>2956</v>
      </c>
      <c r="B30" s="51" t="n">
        <v>26</v>
      </c>
      <c r="C30" s="52" t="s">
        <v>2957</v>
      </c>
      <c r="D30" s="53" t="s">
        <v>2958</v>
      </c>
      <c r="E30" s="54" t="s">
        <v>2959</v>
      </c>
      <c r="F30" s="54" t="s">
        <v>823</v>
      </c>
      <c r="G30" s="54" t="s">
        <v>2960</v>
      </c>
      <c r="H30" s="54" t="s">
        <v>2961</v>
      </c>
      <c r="I30" s="53" t="s">
        <v>2962</v>
      </c>
      <c r="J30" s="54" t="s">
        <v>2963</v>
      </c>
      <c r="K30" s="53" t="s">
        <v>2964</v>
      </c>
      <c r="L30" s="61" t="s">
        <v>10</v>
      </c>
      <c r="M30" s="66" t="n">
        <v>4</v>
      </c>
      <c r="N30" s="67" t="s">
        <v>2732</v>
      </c>
      <c r="O30" s="51" t="s">
        <v>95</v>
      </c>
      <c r="P30" s="54"/>
      <c r="Q30" s="54" t="s">
        <v>516</v>
      </c>
      <c r="R30" s="58" t="s">
        <v>517</v>
      </c>
      <c r="S30" s="54" t="s">
        <v>98</v>
      </c>
    </row>
    <row r="31" customFormat="false" ht="35.05" hidden="false" customHeight="false" outlineLevel="0" collapsed="false">
      <c r="A31" s="51" t="s">
        <v>2965</v>
      </c>
      <c r="B31" s="51" t="n">
        <v>27</v>
      </c>
      <c r="C31" s="52" t="s">
        <v>2966</v>
      </c>
      <c r="D31" s="53" t="s">
        <v>2967</v>
      </c>
      <c r="E31" s="54" t="s">
        <v>2968</v>
      </c>
      <c r="F31" s="54" t="s">
        <v>548</v>
      </c>
      <c r="G31" s="54" t="s">
        <v>2969</v>
      </c>
      <c r="H31" s="54" t="s">
        <v>2970</v>
      </c>
      <c r="I31" s="53" t="s">
        <v>2971</v>
      </c>
      <c r="J31" s="54" t="s">
        <v>2972</v>
      </c>
      <c r="K31" s="53" t="s">
        <v>2973</v>
      </c>
      <c r="L31" s="61" t="s">
        <v>10</v>
      </c>
      <c r="M31" s="66" t="n">
        <v>4</v>
      </c>
      <c r="N31" s="67" t="s">
        <v>2732</v>
      </c>
      <c r="O31" s="51" t="s">
        <v>95</v>
      </c>
      <c r="P31" s="54"/>
      <c r="Q31" s="54" t="s">
        <v>516</v>
      </c>
      <c r="R31" s="58" t="s">
        <v>517</v>
      </c>
      <c r="S31" s="54" t="s">
        <v>98</v>
      </c>
    </row>
    <row r="32" customFormat="false" ht="35.05" hidden="false" customHeight="false" outlineLevel="0" collapsed="false">
      <c r="A32" s="51" t="s">
        <v>2974</v>
      </c>
      <c r="B32" s="51" t="n">
        <v>28</v>
      </c>
      <c r="C32" s="52" t="s">
        <v>2975</v>
      </c>
      <c r="D32" s="53" t="s">
        <v>2976</v>
      </c>
      <c r="E32" s="54" t="s">
        <v>2977</v>
      </c>
      <c r="F32" s="54" t="s">
        <v>137</v>
      </c>
      <c r="G32" s="54" t="s">
        <v>2978</v>
      </c>
      <c r="H32" s="54" t="s">
        <v>2979</v>
      </c>
      <c r="I32" s="53" t="s">
        <v>2980</v>
      </c>
      <c r="J32" s="54" t="s">
        <v>2981</v>
      </c>
      <c r="K32" s="53" t="s">
        <v>2982</v>
      </c>
      <c r="L32" s="61" t="s">
        <v>10</v>
      </c>
      <c r="M32" s="66" t="n">
        <v>4</v>
      </c>
      <c r="N32" s="67" t="s">
        <v>2732</v>
      </c>
      <c r="O32" s="51" t="s">
        <v>95</v>
      </c>
      <c r="P32" s="54"/>
      <c r="Q32" s="54" t="s">
        <v>96</v>
      </c>
      <c r="R32" s="58" t="s">
        <v>97</v>
      </c>
      <c r="S32" s="54" t="s">
        <v>98</v>
      </c>
    </row>
    <row r="33" customFormat="false" ht="35.05" hidden="false" customHeight="false" outlineLevel="0" collapsed="false">
      <c r="A33" s="51" t="s">
        <v>2983</v>
      </c>
      <c r="B33" s="51" t="n">
        <v>29</v>
      </c>
      <c r="C33" s="52" t="s">
        <v>2984</v>
      </c>
      <c r="D33" s="53" t="s">
        <v>2985</v>
      </c>
      <c r="E33" s="54" t="s">
        <v>2986</v>
      </c>
      <c r="F33" s="54" t="s">
        <v>249</v>
      </c>
      <c r="G33" s="54" t="s">
        <v>2987</v>
      </c>
      <c r="H33" s="54" t="s">
        <v>2988</v>
      </c>
      <c r="I33" s="53" t="s">
        <v>2989</v>
      </c>
      <c r="J33" s="54" t="s">
        <v>2990</v>
      </c>
      <c r="K33" s="53" t="s">
        <v>2991</v>
      </c>
      <c r="L33" s="61" t="s">
        <v>10</v>
      </c>
      <c r="M33" s="66" t="n">
        <v>4</v>
      </c>
      <c r="N33" s="67" t="s">
        <v>2732</v>
      </c>
      <c r="O33" s="51" t="s">
        <v>95</v>
      </c>
      <c r="P33" s="54"/>
      <c r="Q33" s="54" t="s">
        <v>131</v>
      </c>
      <c r="R33" s="58" t="s">
        <v>132</v>
      </c>
      <c r="S33" s="54" t="s">
        <v>98</v>
      </c>
    </row>
  </sheetData>
  <autoFilter ref="A4:S33"/>
  <mergeCells count="2">
    <mergeCell ref="A1:S1"/>
    <mergeCell ref="A2:S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97B"/>
    <pageSetUpPr fitToPage="true"/>
  </sheetPr>
  <dimension ref="A1:S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
    <col collapsed="false" customWidth="true" hidden="false" outlineLevel="0" max="3" min="3" style="0" width="30"/>
    <col collapsed="false" customWidth="true" hidden="false" outlineLevel="0" max="4" min="4" style="0" width="26"/>
    <col collapsed="false" customWidth="true" hidden="false" outlineLevel="0" max="5" min="5" style="0" width="24"/>
    <col collapsed="false" customWidth="true" hidden="false" outlineLevel="0" max="6" min="6" style="0" width="22"/>
    <col collapsed="false" customWidth="true" hidden="false" outlineLevel="0" max="7" min="7" style="0" width="55"/>
    <col collapsed="false" customWidth="true" hidden="false" outlineLevel="0" max="8" min="8" style="0" width="46"/>
    <col collapsed="false" customWidth="true" hidden="false" outlineLevel="0" max="9" min="9" style="0" width="44"/>
    <col collapsed="false" customWidth="true" hidden="false" outlineLevel="0" max="10" min="10" style="0" width="46"/>
    <col collapsed="false" customWidth="true" hidden="false" outlineLevel="0" max="11" min="11" style="0" width="44"/>
    <col collapsed="false" customWidth="true" hidden="false" outlineLevel="0" max="12" min="12" style="0" width="14"/>
    <col collapsed="false" customWidth="true" hidden="false" outlineLevel="0" max="13" min="13" style="0" width="8"/>
    <col collapsed="false" customWidth="true" hidden="false" outlineLevel="0" max="14" min="14" style="0" width="30"/>
    <col collapsed="false" customWidth="true" hidden="false" outlineLevel="0" max="15" min="15" style="0" width="12"/>
    <col collapsed="false" customWidth="true" hidden="false" outlineLevel="0" max="16" min="16" style="0" width="24"/>
    <col collapsed="false" customWidth="true" hidden="false" outlineLevel="0" max="17" min="17" style="0" width="28"/>
    <col collapsed="false" customWidth="true" hidden="false" outlineLevel="0" max="18" min="18" style="0" width="45"/>
    <col collapsed="false" customWidth="true" hidden="false" outlineLevel="0" max="19" min="19" style="0" width="50"/>
  </cols>
  <sheetData>
    <row r="1" customFormat="false" ht="17.15" hidden="false" customHeight="false" outlineLevel="0" collapsed="false">
      <c r="A1" s="1" t="s">
        <v>4072</v>
      </c>
      <c r="B1" s="1"/>
      <c r="C1" s="1"/>
      <c r="D1" s="1"/>
      <c r="E1" s="1"/>
      <c r="F1" s="1"/>
      <c r="G1" s="1"/>
      <c r="H1" s="1"/>
      <c r="I1" s="1"/>
      <c r="J1" s="1"/>
      <c r="K1" s="1"/>
      <c r="L1" s="1"/>
      <c r="M1" s="1"/>
      <c r="N1" s="1"/>
      <c r="O1" s="1"/>
      <c r="P1" s="1"/>
      <c r="Q1" s="1"/>
      <c r="R1" s="1"/>
      <c r="S1" s="1"/>
    </row>
    <row r="2" customFormat="false" ht="11.9" hidden="false" customHeight="false" outlineLevel="0" collapsed="false">
      <c r="A2" s="2" t="s">
        <v>4073</v>
      </c>
      <c r="B2" s="2"/>
      <c r="C2" s="2"/>
      <c r="D2" s="2"/>
      <c r="E2" s="2"/>
      <c r="F2" s="2"/>
      <c r="G2" s="2"/>
      <c r="H2" s="2"/>
      <c r="I2" s="2"/>
      <c r="J2" s="2"/>
      <c r="K2" s="2"/>
      <c r="L2" s="2"/>
      <c r="M2" s="2"/>
      <c r="N2" s="2"/>
      <c r="O2" s="2"/>
      <c r="P2" s="2"/>
      <c r="Q2" s="2"/>
      <c r="R2" s="2"/>
      <c r="S2" s="2"/>
    </row>
    <row r="4" customFormat="false" ht="30" hidden="false" customHeight="true" outlineLevel="0" collapsed="false">
      <c r="A4" s="3" t="s">
        <v>50</v>
      </c>
      <c r="B4" s="3" t="s">
        <v>74</v>
      </c>
      <c r="C4" s="3" t="s">
        <v>75</v>
      </c>
      <c r="D4" s="3" t="s">
        <v>76</v>
      </c>
      <c r="E4" s="3" t="s">
        <v>54</v>
      </c>
      <c r="F4" s="3" t="s">
        <v>56</v>
      </c>
      <c r="G4" s="3" t="s">
        <v>58</v>
      </c>
      <c r="H4" s="3" t="s">
        <v>77</v>
      </c>
      <c r="I4" s="3" t="s">
        <v>78</v>
      </c>
      <c r="J4" s="3" t="s">
        <v>79</v>
      </c>
      <c r="K4" s="3" t="s">
        <v>80</v>
      </c>
      <c r="L4" s="3" t="s">
        <v>62</v>
      </c>
      <c r="M4" s="3" t="s">
        <v>2</v>
      </c>
      <c r="N4" s="3" t="s">
        <v>81</v>
      </c>
      <c r="O4" s="3" t="s">
        <v>64</v>
      </c>
      <c r="P4" s="3" t="s">
        <v>66</v>
      </c>
      <c r="Q4" s="3" t="s">
        <v>82</v>
      </c>
      <c r="R4" s="3" t="s">
        <v>83</v>
      </c>
      <c r="S4" s="3" t="s">
        <v>70</v>
      </c>
    </row>
    <row r="5" customFormat="false" ht="35.05" hidden="false" customHeight="false" outlineLevel="0" collapsed="false">
      <c r="A5" s="51" t="s">
        <v>2992</v>
      </c>
      <c r="B5" s="51" t="n">
        <v>1</v>
      </c>
      <c r="C5" s="52" t="s">
        <v>2993</v>
      </c>
      <c r="D5" s="53" t="s">
        <v>2994</v>
      </c>
      <c r="E5" s="54" t="s">
        <v>2995</v>
      </c>
      <c r="F5" s="54" t="s">
        <v>2996</v>
      </c>
      <c r="G5" s="54" t="s">
        <v>2997</v>
      </c>
      <c r="H5" s="54" t="s">
        <v>2998</v>
      </c>
      <c r="I5" s="53" t="s">
        <v>2999</v>
      </c>
      <c r="J5" s="54" t="s">
        <v>3000</v>
      </c>
      <c r="K5" s="53" t="s">
        <v>3001</v>
      </c>
      <c r="L5" s="55" t="s">
        <v>8</v>
      </c>
      <c r="M5" s="68" t="n">
        <v>5</v>
      </c>
      <c r="N5" s="69" t="s">
        <v>3002</v>
      </c>
      <c r="O5" s="51" t="s">
        <v>95</v>
      </c>
      <c r="P5" s="54"/>
      <c r="Q5" s="54" t="s">
        <v>131</v>
      </c>
      <c r="R5" s="58" t="s">
        <v>132</v>
      </c>
      <c r="S5" s="54" t="s">
        <v>98</v>
      </c>
    </row>
    <row r="6" customFormat="false" ht="35.05" hidden="false" customHeight="false" outlineLevel="0" collapsed="false">
      <c r="A6" s="51" t="s">
        <v>3003</v>
      </c>
      <c r="B6" s="51" t="n">
        <v>2</v>
      </c>
      <c r="C6" s="52" t="s">
        <v>3004</v>
      </c>
      <c r="D6" s="53" t="s">
        <v>3005</v>
      </c>
      <c r="E6" s="54" t="s">
        <v>3006</v>
      </c>
      <c r="F6" s="54" t="s">
        <v>115</v>
      </c>
      <c r="G6" s="54" t="s">
        <v>3007</v>
      </c>
      <c r="H6" s="54" t="s">
        <v>3008</v>
      </c>
      <c r="I6" s="53" t="s">
        <v>3009</v>
      </c>
      <c r="J6" s="54" t="s">
        <v>3010</v>
      </c>
      <c r="K6" s="53" t="s">
        <v>3011</v>
      </c>
      <c r="L6" s="55" t="s">
        <v>8</v>
      </c>
      <c r="M6" s="68" t="n">
        <v>5</v>
      </c>
      <c r="N6" s="69" t="s">
        <v>3002</v>
      </c>
      <c r="O6" s="51" t="s">
        <v>95</v>
      </c>
      <c r="P6" s="54"/>
      <c r="Q6" s="54" t="s">
        <v>131</v>
      </c>
      <c r="R6" s="58" t="s">
        <v>132</v>
      </c>
      <c r="S6" s="54" t="s">
        <v>98</v>
      </c>
    </row>
    <row r="7" customFormat="false" ht="46.25" hidden="false" customHeight="false" outlineLevel="0" collapsed="false">
      <c r="A7" s="51" t="s">
        <v>3012</v>
      </c>
      <c r="B7" s="51" t="n">
        <v>3</v>
      </c>
      <c r="C7" s="52" t="s">
        <v>3013</v>
      </c>
      <c r="D7" s="53" t="s">
        <v>3014</v>
      </c>
      <c r="E7" s="54" t="s">
        <v>3015</v>
      </c>
      <c r="F7" s="54" t="s">
        <v>115</v>
      </c>
      <c r="G7" s="54" t="s">
        <v>3016</v>
      </c>
      <c r="H7" s="54" t="s">
        <v>3017</v>
      </c>
      <c r="I7" s="53" t="s">
        <v>3018</v>
      </c>
      <c r="J7" s="54" t="s">
        <v>3019</v>
      </c>
      <c r="K7" s="53" t="s">
        <v>3020</v>
      </c>
      <c r="L7" s="55" t="s">
        <v>8</v>
      </c>
      <c r="M7" s="68" t="n">
        <v>5</v>
      </c>
      <c r="N7" s="69" t="s">
        <v>3002</v>
      </c>
      <c r="O7" s="51" t="s">
        <v>95</v>
      </c>
      <c r="P7" s="54"/>
      <c r="Q7" s="54" t="s">
        <v>109</v>
      </c>
      <c r="R7" s="58" t="s">
        <v>110</v>
      </c>
      <c r="S7" s="54" t="s">
        <v>98</v>
      </c>
    </row>
    <row r="8" customFormat="false" ht="35.05" hidden="false" customHeight="false" outlineLevel="0" collapsed="false">
      <c r="A8" s="51" t="s">
        <v>3021</v>
      </c>
      <c r="B8" s="51" t="n">
        <v>4</v>
      </c>
      <c r="C8" s="52" t="s">
        <v>3022</v>
      </c>
      <c r="D8" s="53" t="s">
        <v>3023</v>
      </c>
      <c r="E8" s="54" t="s">
        <v>3024</v>
      </c>
      <c r="F8" s="54" t="s">
        <v>32</v>
      </c>
      <c r="G8" s="54" t="s">
        <v>3025</v>
      </c>
      <c r="H8" s="54" t="s">
        <v>3026</v>
      </c>
      <c r="I8" s="53" t="s">
        <v>3027</v>
      </c>
      <c r="J8" s="54" t="s">
        <v>3028</v>
      </c>
      <c r="K8" s="53" t="s">
        <v>3029</v>
      </c>
      <c r="L8" s="55" t="s">
        <v>8</v>
      </c>
      <c r="M8" s="68" t="n">
        <v>5</v>
      </c>
      <c r="N8" s="69" t="s">
        <v>3002</v>
      </c>
      <c r="O8" s="51" t="s">
        <v>95</v>
      </c>
      <c r="P8" s="54"/>
      <c r="Q8" s="54" t="s">
        <v>131</v>
      </c>
      <c r="R8" s="58" t="s">
        <v>132</v>
      </c>
      <c r="S8" s="54" t="s">
        <v>98</v>
      </c>
    </row>
    <row r="9" customFormat="false" ht="35.05" hidden="false" customHeight="false" outlineLevel="0" collapsed="false">
      <c r="A9" s="51" t="s">
        <v>3030</v>
      </c>
      <c r="B9" s="51" t="n">
        <v>5</v>
      </c>
      <c r="C9" s="52" t="s">
        <v>3031</v>
      </c>
      <c r="D9" s="53" t="s">
        <v>3032</v>
      </c>
      <c r="E9" s="54" t="s">
        <v>3033</v>
      </c>
      <c r="F9" s="54" t="s">
        <v>3034</v>
      </c>
      <c r="G9" s="54" t="s">
        <v>3035</v>
      </c>
      <c r="H9" s="54" t="s">
        <v>3036</v>
      </c>
      <c r="I9" s="53" t="s">
        <v>3037</v>
      </c>
      <c r="J9" s="54" t="s">
        <v>3038</v>
      </c>
      <c r="K9" s="53" t="s">
        <v>3039</v>
      </c>
      <c r="L9" s="55" t="s">
        <v>8</v>
      </c>
      <c r="M9" s="68" t="n">
        <v>5</v>
      </c>
      <c r="N9" s="69" t="s">
        <v>3002</v>
      </c>
      <c r="O9" s="51" t="s">
        <v>95</v>
      </c>
      <c r="P9" s="54"/>
      <c r="Q9" s="54" t="s">
        <v>131</v>
      </c>
      <c r="R9" s="58" t="s">
        <v>132</v>
      </c>
      <c r="S9" s="54" t="s">
        <v>98</v>
      </c>
    </row>
    <row r="10" customFormat="false" ht="35.05" hidden="false" customHeight="false" outlineLevel="0" collapsed="false">
      <c r="A10" s="51" t="s">
        <v>3040</v>
      </c>
      <c r="B10" s="51" t="n">
        <v>6</v>
      </c>
      <c r="C10" s="52" t="s">
        <v>3041</v>
      </c>
      <c r="D10" s="53" t="s">
        <v>3042</v>
      </c>
      <c r="E10" s="54" t="s">
        <v>3043</v>
      </c>
      <c r="F10" s="54" t="s">
        <v>32</v>
      </c>
      <c r="G10" s="54" t="s">
        <v>3044</v>
      </c>
      <c r="H10" s="54" t="s">
        <v>3045</v>
      </c>
      <c r="I10" s="53" t="s">
        <v>3046</v>
      </c>
      <c r="J10" s="54" t="s">
        <v>3047</v>
      </c>
      <c r="K10" s="53" t="s">
        <v>3048</v>
      </c>
      <c r="L10" s="55" t="s">
        <v>8</v>
      </c>
      <c r="M10" s="68" t="n">
        <v>5</v>
      </c>
      <c r="N10" s="69" t="s">
        <v>3002</v>
      </c>
      <c r="O10" s="51" t="s">
        <v>95</v>
      </c>
      <c r="P10" s="54"/>
      <c r="Q10" s="54" t="s">
        <v>131</v>
      </c>
      <c r="R10" s="58" t="s">
        <v>132</v>
      </c>
      <c r="S10" s="54" t="s">
        <v>98</v>
      </c>
    </row>
    <row r="11" customFormat="false" ht="35.05" hidden="false" customHeight="false" outlineLevel="0" collapsed="false">
      <c r="A11" s="51" t="s">
        <v>3049</v>
      </c>
      <c r="B11" s="51" t="n">
        <v>7</v>
      </c>
      <c r="C11" s="52" t="s">
        <v>32</v>
      </c>
      <c r="D11" s="53" t="s">
        <v>33</v>
      </c>
      <c r="E11" s="54" t="s">
        <v>3050</v>
      </c>
      <c r="F11" s="54" t="s">
        <v>32</v>
      </c>
      <c r="G11" s="54" t="s">
        <v>3051</v>
      </c>
      <c r="H11" s="54" t="s">
        <v>3052</v>
      </c>
      <c r="I11" s="53" t="s">
        <v>3053</v>
      </c>
      <c r="J11" s="54" t="s">
        <v>3054</v>
      </c>
      <c r="K11" s="53" t="s">
        <v>3055</v>
      </c>
      <c r="L11" s="55" t="s">
        <v>8</v>
      </c>
      <c r="M11" s="68" t="n">
        <v>5</v>
      </c>
      <c r="N11" s="69" t="s">
        <v>3002</v>
      </c>
      <c r="O11" s="51" t="s">
        <v>95</v>
      </c>
      <c r="P11" s="54"/>
      <c r="Q11" s="54" t="s">
        <v>131</v>
      </c>
      <c r="R11" s="58" t="s">
        <v>132</v>
      </c>
      <c r="S11" s="54" t="s">
        <v>98</v>
      </c>
    </row>
    <row r="12" customFormat="false" ht="35.05" hidden="false" customHeight="false" outlineLevel="0" collapsed="false">
      <c r="A12" s="51" t="s">
        <v>3056</v>
      </c>
      <c r="B12" s="51" t="n">
        <v>8</v>
      </c>
      <c r="C12" s="52" t="s">
        <v>3057</v>
      </c>
      <c r="D12" s="53" t="s">
        <v>3058</v>
      </c>
      <c r="E12" s="54" t="s">
        <v>3059</v>
      </c>
      <c r="F12" s="54" t="s">
        <v>32</v>
      </c>
      <c r="G12" s="54" t="s">
        <v>3060</v>
      </c>
      <c r="H12" s="54" t="s">
        <v>3061</v>
      </c>
      <c r="I12" s="53" t="s">
        <v>3062</v>
      </c>
      <c r="J12" s="54" t="s">
        <v>3063</v>
      </c>
      <c r="K12" s="53" t="s">
        <v>3064</v>
      </c>
      <c r="L12" s="55" t="s">
        <v>8</v>
      </c>
      <c r="M12" s="68" t="n">
        <v>5</v>
      </c>
      <c r="N12" s="69" t="s">
        <v>3002</v>
      </c>
      <c r="O12" s="51" t="s">
        <v>95</v>
      </c>
      <c r="P12" s="54"/>
      <c r="Q12" s="54" t="s">
        <v>131</v>
      </c>
      <c r="R12" s="58" t="s">
        <v>132</v>
      </c>
      <c r="S12" s="54" t="s">
        <v>98</v>
      </c>
    </row>
    <row r="13" customFormat="false" ht="35.05" hidden="false" customHeight="false" outlineLevel="0" collapsed="false">
      <c r="A13" s="51" t="s">
        <v>3065</v>
      </c>
      <c r="B13" s="51" t="n">
        <v>9</v>
      </c>
      <c r="C13" s="52" t="s">
        <v>3066</v>
      </c>
      <c r="D13" s="53" t="s">
        <v>3067</v>
      </c>
      <c r="E13" s="54" t="s">
        <v>3068</v>
      </c>
      <c r="F13" s="54" t="s">
        <v>32</v>
      </c>
      <c r="G13" s="54" t="s">
        <v>3069</v>
      </c>
      <c r="H13" s="54" t="s">
        <v>3070</v>
      </c>
      <c r="I13" s="53" t="s">
        <v>3071</v>
      </c>
      <c r="J13" s="54" t="s">
        <v>3072</v>
      </c>
      <c r="K13" s="53" t="s">
        <v>3073</v>
      </c>
      <c r="L13" s="55" t="s">
        <v>8</v>
      </c>
      <c r="M13" s="68" t="n">
        <v>5</v>
      </c>
      <c r="N13" s="69" t="s">
        <v>3002</v>
      </c>
      <c r="O13" s="51" t="s">
        <v>95</v>
      </c>
      <c r="P13" s="54"/>
      <c r="Q13" s="54" t="s">
        <v>131</v>
      </c>
      <c r="R13" s="58" t="s">
        <v>132</v>
      </c>
      <c r="S13" s="54" t="s">
        <v>98</v>
      </c>
    </row>
    <row r="14" customFormat="false" ht="35.05" hidden="false" customHeight="false" outlineLevel="0" collapsed="false">
      <c r="A14" s="51" t="s">
        <v>3074</v>
      </c>
      <c r="B14" s="51" t="n">
        <v>10</v>
      </c>
      <c r="C14" s="52" t="s">
        <v>3075</v>
      </c>
      <c r="D14" s="53" t="s">
        <v>3076</v>
      </c>
      <c r="E14" s="54" t="s">
        <v>3077</v>
      </c>
      <c r="F14" s="54" t="s">
        <v>115</v>
      </c>
      <c r="G14" s="54" t="s">
        <v>3078</v>
      </c>
      <c r="H14" s="54" t="s">
        <v>3079</v>
      </c>
      <c r="I14" s="53" t="s">
        <v>3080</v>
      </c>
      <c r="J14" s="54" t="s">
        <v>3081</v>
      </c>
      <c r="K14" s="53" t="s">
        <v>3082</v>
      </c>
      <c r="L14" s="55" t="s">
        <v>8</v>
      </c>
      <c r="M14" s="68" t="n">
        <v>5</v>
      </c>
      <c r="N14" s="69" t="s">
        <v>3002</v>
      </c>
      <c r="O14" s="51" t="s">
        <v>95</v>
      </c>
      <c r="P14" s="54"/>
      <c r="Q14" s="54" t="s">
        <v>131</v>
      </c>
      <c r="R14" s="58" t="s">
        <v>132</v>
      </c>
      <c r="S14" s="54" t="s">
        <v>98</v>
      </c>
    </row>
    <row r="15" customFormat="false" ht="35.05" hidden="false" customHeight="false" outlineLevel="0" collapsed="false">
      <c r="A15" s="51" t="s">
        <v>3083</v>
      </c>
      <c r="B15" s="51" t="n">
        <v>11</v>
      </c>
      <c r="C15" s="52" t="s">
        <v>3084</v>
      </c>
      <c r="D15" s="53" t="s">
        <v>3085</v>
      </c>
      <c r="E15" s="54" t="s">
        <v>3086</v>
      </c>
      <c r="F15" s="54" t="s">
        <v>2996</v>
      </c>
      <c r="G15" s="54" t="s">
        <v>3087</v>
      </c>
      <c r="H15" s="54" t="s">
        <v>3088</v>
      </c>
      <c r="I15" s="53" t="s">
        <v>3089</v>
      </c>
      <c r="J15" s="54" t="s">
        <v>3090</v>
      </c>
      <c r="K15" s="53" t="s">
        <v>3091</v>
      </c>
      <c r="L15" s="55" t="s">
        <v>8</v>
      </c>
      <c r="M15" s="68" t="n">
        <v>5</v>
      </c>
      <c r="N15" s="69" t="s">
        <v>3002</v>
      </c>
      <c r="O15" s="51" t="s">
        <v>95</v>
      </c>
      <c r="P15" s="54"/>
      <c r="Q15" s="54" t="s">
        <v>131</v>
      </c>
      <c r="R15" s="58" t="s">
        <v>132</v>
      </c>
      <c r="S15" s="54" t="s">
        <v>98</v>
      </c>
    </row>
    <row r="16" customFormat="false" ht="35.05" hidden="false" customHeight="false" outlineLevel="0" collapsed="false">
      <c r="A16" s="51" t="s">
        <v>3092</v>
      </c>
      <c r="B16" s="51" t="n">
        <v>12</v>
      </c>
      <c r="C16" s="52" t="s">
        <v>3093</v>
      </c>
      <c r="D16" s="53" t="s">
        <v>3094</v>
      </c>
      <c r="E16" s="54" t="s">
        <v>3095</v>
      </c>
      <c r="F16" s="54" t="s">
        <v>2996</v>
      </c>
      <c r="G16" s="54" t="s">
        <v>3096</v>
      </c>
      <c r="H16" s="54" t="s">
        <v>3097</v>
      </c>
      <c r="I16" s="53" t="s">
        <v>3098</v>
      </c>
      <c r="J16" s="54" t="s">
        <v>3099</v>
      </c>
      <c r="K16" s="53" t="s">
        <v>3100</v>
      </c>
      <c r="L16" s="55" t="s">
        <v>8</v>
      </c>
      <c r="M16" s="68" t="n">
        <v>5</v>
      </c>
      <c r="N16" s="69" t="s">
        <v>3002</v>
      </c>
      <c r="O16" s="51" t="s">
        <v>95</v>
      </c>
      <c r="P16" s="54"/>
      <c r="Q16" s="54" t="s">
        <v>131</v>
      </c>
      <c r="R16" s="58" t="s">
        <v>132</v>
      </c>
      <c r="S16" s="54" t="s">
        <v>98</v>
      </c>
    </row>
    <row r="17" customFormat="false" ht="35.05" hidden="false" customHeight="false" outlineLevel="0" collapsed="false">
      <c r="A17" s="51" t="s">
        <v>3101</v>
      </c>
      <c r="B17" s="51" t="n">
        <v>13</v>
      </c>
      <c r="C17" s="52" t="s">
        <v>3102</v>
      </c>
      <c r="D17" s="53" t="s">
        <v>3103</v>
      </c>
      <c r="E17" s="54" t="s">
        <v>3104</v>
      </c>
      <c r="F17" s="54" t="s">
        <v>2996</v>
      </c>
      <c r="G17" s="54" t="s">
        <v>3105</v>
      </c>
      <c r="H17" s="54" t="s">
        <v>3106</v>
      </c>
      <c r="I17" s="53" t="s">
        <v>3107</v>
      </c>
      <c r="J17" s="54" t="s">
        <v>3108</v>
      </c>
      <c r="K17" s="53" t="s">
        <v>3109</v>
      </c>
      <c r="L17" s="55" t="s">
        <v>8</v>
      </c>
      <c r="M17" s="68" t="n">
        <v>5</v>
      </c>
      <c r="N17" s="69" t="s">
        <v>3002</v>
      </c>
      <c r="O17" s="51" t="s">
        <v>95</v>
      </c>
      <c r="P17" s="54"/>
      <c r="Q17" s="54" t="s">
        <v>131</v>
      </c>
      <c r="R17" s="58" t="s">
        <v>132</v>
      </c>
      <c r="S17" s="54" t="s">
        <v>98</v>
      </c>
    </row>
    <row r="18" customFormat="false" ht="35.05" hidden="false" customHeight="false" outlineLevel="0" collapsed="false">
      <c r="A18" s="51" t="s">
        <v>3110</v>
      </c>
      <c r="B18" s="51" t="n">
        <v>14</v>
      </c>
      <c r="C18" s="52" t="s">
        <v>3111</v>
      </c>
      <c r="D18" s="53" t="s">
        <v>3112</v>
      </c>
      <c r="E18" s="54" t="s">
        <v>3113</v>
      </c>
      <c r="F18" s="54" t="s">
        <v>115</v>
      </c>
      <c r="G18" s="54" t="s">
        <v>3114</v>
      </c>
      <c r="H18" s="54" t="s">
        <v>3115</v>
      </c>
      <c r="I18" s="53" t="s">
        <v>3116</v>
      </c>
      <c r="J18" s="54" t="s">
        <v>3117</v>
      </c>
      <c r="K18" s="53" t="s">
        <v>3118</v>
      </c>
      <c r="L18" s="55" t="s">
        <v>8</v>
      </c>
      <c r="M18" s="68" t="n">
        <v>5</v>
      </c>
      <c r="N18" s="69" t="s">
        <v>3002</v>
      </c>
      <c r="O18" s="51" t="s">
        <v>95</v>
      </c>
      <c r="P18" s="54"/>
      <c r="Q18" s="54" t="s">
        <v>131</v>
      </c>
      <c r="R18" s="58" t="s">
        <v>132</v>
      </c>
      <c r="S18" s="54" t="s">
        <v>98</v>
      </c>
    </row>
    <row r="19" customFormat="false" ht="35.05" hidden="false" customHeight="false" outlineLevel="0" collapsed="false">
      <c r="A19" s="51" t="s">
        <v>3119</v>
      </c>
      <c r="B19" s="51" t="n">
        <v>15</v>
      </c>
      <c r="C19" s="52" t="s">
        <v>3120</v>
      </c>
      <c r="D19" s="53" t="s">
        <v>3121</v>
      </c>
      <c r="E19" s="54" t="s">
        <v>3122</v>
      </c>
      <c r="F19" s="54" t="s">
        <v>2996</v>
      </c>
      <c r="G19" s="54" t="s">
        <v>3123</v>
      </c>
      <c r="H19" s="54" t="s">
        <v>3124</v>
      </c>
      <c r="I19" s="53" t="s">
        <v>3125</v>
      </c>
      <c r="J19" s="54" t="s">
        <v>3126</v>
      </c>
      <c r="K19" s="53" t="s">
        <v>3127</v>
      </c>
      <c r="L19" s="55" t="s">
        <v>8</v>
      </c>
      <c r="M19" s="68" t="n">
        <v>5</v>
      </c>
      <c r="N19" s="69" t="s">
        <v>3002</v>
      </c>
      <c r="O19" s="51" t="s">
        <v>95</v>
      </c>
      <c r="P19" s="54"/>
      <c r="Q19" s="54" t="s">
        <v>131</v>
      </c>
      <c r="R19" s="58" t="s">
        <v>132</v>
      </c>
      <c r="S19" s="54" t="s">
        <v>98</v>
      </c>
    </row>
    <row r="20" customFormat="false" ht="35.05" hidden="false" customHeight="false" outlineLevel="0" collapsed="false">
      <c r="A20" s="51" t="s">
        <v>3128</v>
      </c>
      <c r="B20" s="51" t="n">
        <v>16</v>
      </c>
      <c r="C20" s="52" t="s">
        <v>3129</v>
      </c>
      <c r="D20" s="53" t="s">
        <v>3130</v>
      </c>
      <c r="E20" s="54" t="s">
        <v>3131</v>
      </c>
      <c r="F20" s="54" t="s">
        <v>3132</v>
      </c>
      <c r="G20" s="54" t="s">
        <v>3133</v>
      </c>
      <c r="H20" s="54" t="s">
        <v>3134</v>
      </c>
      <c r="I20" s="53" t="s">
        <v>3135</v>
      </c>
      <c r="J20" s="54" t="s">
        <v>3136</v>
      </c>
      <c r="K20" s="53" t="s">
        <v>3137</v>
      </c>
      <c r="L20" s="55" t="s">
        <v>8</v>
      </c>
      <c r="M20" s="68" t="n">
        <v>5</v>
      </c>
      <c r="N20" s="69" t="s">
        <v>3002</v>
      </c>
      <c r="O20" s="51" t="s">
        <v>95</v>
      </c>
      <c r="P20" s="54"/>
      <c r="Q20" s="54" t="s">
        <v>131</v>
      </c>
      <c r="R20" s="58" t="s">
        <v>132</v>
      </c>
      <c r="S20" s="54" t="s">
        <v>98</v>
      </c>
    </row>
    <row r="21" customFormat="false" ht="46.25" hidden="false" customHeight="false" outlineLevel="0" collapsed="false">
      <c r="A21" s="51" t="s">
        <v>3138</v>
      </c>
      <c r="B21" s="51" t="n">
        <v>17</v>
      </c>
      <c r="C21" s="52" t="s">
        <v>3139</v>
      </c>
      <c r="D21" s="53" t="s">
        <v>3140</v>
      </c>
      <c r="E21" s="54" t="s">
        <v>3141</v>
      </c>
      <c r="F21" s="54" t="s">
        <v>32</v>
      </c>
      <c r="G21" s="54" t="s">
        <v>3142</v>
      </c>
      <c r="H21" s="54" t="s">
        <v>3143</v>
      </c>
      <c r="I21" s="53" t="s">
        <v>3144</v>
      </c>
      <c r="J21" s="54" t="s">
        <v>3145</v>
      </c>
      <c r="K21" s="53" t="s">
        <v>3146</v>
      </c>
      <c r="L21" s="55" t="s">
        <v>8</v>
      </c>
      <c r="M21" s="68" t="n">
        <v>5</v>
      </c>
      <c r="N21" s="69" t="s">
        <v>3002</v>
      </c>
      <c r="O21" s="59" t="s">
        <v>161</v>
      </c>
      <c r="P21" s="54" t="s">
        <v>2781</v>
      </c>
      <c r="Q21" s="54" t="s">
        <v>131</v>
      </c>
      <c r="R21" s="58" t="s">
        <v>132</v>
      </c>
      <c r="S21" s="54" t="s">
        <v>3147</v>
      </c>
    </row>
    <row r="22" customFormat="false" ht="35.05" hidden="false" customHeight="false" outlineLevel="0" collapsed="false">
      <c r="A22" s="51" t="s">
        <v>3148</v>
      </c>
      <c r="B22" s="51" t="n">
        <v>18</v>
      </c>
      <c r="C22" s="52" t="s">
        <v>3149</v>
      </c>
      <c r="D22" s="53" t="s">
        <v>3150</v>
      </c>
      <c r="E22" s="54" t="s">
        <v>3151</v>
      </c>
      <c r="F22" s="54" t="s">
        <v>3132</v>
      </c>
      <c r="G22" s="54" t="s">
        <v>3152</v>
      </c>
      <c r="H22" s="54" t="s">
        <v>3153</v>
      </c>
      <c r="I22" s="53" t="s">
        <v>3154</v>
      </c>
      <c r="J22" s="54" t="s">
        <v>3155</v>
      </c>
      <c r="K22" s="53" t="s">
        <v>3156</v>
      </c>
      <c r="L22" s="55" t="s">
        <v>8</v>
      </c>
      <c r="M22" s="68" t="n">
        <v>5</v>
      </c>
      <c r="N22" s="69" t="s">
        <v>3002</v>
      </c>
      <c r="O22" s="51" t="s">
        <v>95</v>
      </c>
      <c r="P22" s="54"/>
      <c r="Q22" s="54" t="s">
        <v>131</v>
      </c>
      <c r="R22" s="58" t="s">
        <v>132</v>
      </c>
      <c r="S22" s="54" t="s">
        <v>98</v>
      </c>
    </row>
    <row r="23" customFormat="false" ht="35.05" hidden="false" customHeight="false" outlineLevel="0" collapsed="false">
      <c r="A23" s="51" t="s">
        <v>3157</v>
      </c>
      <c r="B23" s="51" t="n">
        <v>19</v>
      </c>
      <c r="C23" s="52" t="s">
        <v>3158</v>
      </c>
      <c r="D23" s="53" t="s">
        <v>3159</v>
      </c>
      <c r="E23" s="54" t="s">
        <v>3160</v>
      </c>
      <c r="F23" s="54" t="s">
        <v>261</v>
      </c>
      <c r="G23" s="54" t="s">
        <v>3161</v>
      </c>
      <c r="H23" s="54" t="s">
        <v>3162</v>
      </c>
      <c r="I23" s="53" t="s">
        <v>3163</v>
      </c>
      <c r="J23" s="54" t="s">
        <v>3164</v>
      </c>
      <c r="K23" s="53" t="s">
        <v>3165</v>
      </c>
      <c r="L23" s="55" t="s">
        <v>8</v>
      </c>
      <c r="M23" s="68" t="n">
        <v>5</v>
      </c>
      <c r="N23" s="69" t="s">
        <v>3002</v>
      </c>
      <c r="O23" s="59" t="s">
        <v>161</v>
      </c>
      <c r="P23" s="54" t="s">
        <v>304</v>
      </c>
      <c r="Q23" s="54" t="s">
        <v>131</v>
      </c>
      <c r="R23" s="58" t="s">
        <v>132</v>
      </c>
      <c r="S23" s="54" t="s">
        <v>98</v>
      </c>
    </row>
    <row r="24" customFormat="false" ht="35.05" hidden="false" customHeight="false" outlineLevel="0" collapsed="false">
      <c r="A24" s="51" t="s">
        <v>3166</v>
      </c>
      <c r="B24" s="51" t="n">
        <v>20</v>
      </c>
      <c r="C24" s="52" t="s">
        <v>3167</v>
      </c>
      <c r="D24" s="53" t="s">
        <v>3168</v>
      </c>
      <c r="E24" s="54" t="s">
        <v>3169</v>
      </c>
      <c r="F24" s="54" t="s">
        <v>2996</v>
      </c>
      <c r="G24" s="54" t="s">
        <v>3170</v>
      </c>
      <c r="H24" s="54" t="s">
        <v>3171</v>
      </c>
      <c r="I24" s="53" t="s">
        <v>3172</v>
      </c>
      <c r="J24" s="54" t="s">
        <v>3173</v>
      </c>
      <c r="K24" s="53" t="s">
        <v>3174</v>
      </c>
      <c r="L24" s="55" t="s">
        <v>8</v>
      </c>
      <c r="M24" s="68" t="n">
        <v>5</v>
      </c>
      <c r="N24" s="69" t="s">
        <v>3002</v>
      </c>
      <c r="O24" s="51" t="s">
        <v>95</v>
      </c>
      <c r="P24" s="54"/>
      <c r="Q24" s="54" t="s">
        <v>131</v>
      </c>
      <c r="R24" s="58" t="s">
        <v>132</v>
      </c>
      <c r="S24" s="54" t="s">
        <v>98</v>
      </c>
    </row>
    <row r="25" customFormat="false" ht="35.05" hidden="false" customHeight="false" outlineLevel="0" collapsed="false">
      <c r="A25" s="51" t="s">
        <v>3175</v>
      </c>
      <c r="B25" s="51" t="n">
        <v>21</v>
      </c>
      <c r="C25" s="52" t="s">
        <v>3176</v>
      </c>
      <c r="D25" s="53" t="s">
        <v>3177</v>
      </c>
      <c r="E25" s="54" t="s">
        <v>3178</v>
      </c>
      <c r="F25" s="54" t="s">
        <v>32</v>
      </c>
      <c r="G25" s="54" t="s">
        <v>3179</v>
      </c>
      <c r="H25" s="54" t="s">
        <v>3180</v>
      </c>
      <c r="I25" s="53" t="s">
        <v>3181</v>
      </c>
      <c r="J25" s="54" t="s">
        <v>3182</v>
      </c>
      <c r="K25" s="53" t="s">
        <v>3183</v>
      </c>
      <c r="L25" s="55" t="s">
        <v>8</v>
      </c>
      <c r="M25" s="68" t="n">
        <v>5</v>
      </c>
      <c r="N25" s="69" t="s">
        <v>3002</v>
      </c>
      <c r="O25" s="59" t="s">
        <v>161</v>
      </c>
      <c r="P25" s="54" t="s">
        <v>3184</v>
      </c>
      <c r="Q25" s="54" t="s">
        <v>131</v>
      </c>
      <c r="R25" s="58" t="s">
        <v>132</v>
      </c>
      <c r="S25" s="54" t="s">
        <v>98</v>
      </c>
    </row>
    <row r="26" customFormat="false" ht="35.05" hidden="false" customHeight="false" outlineLevel="0" collapsed="false">
      <c r="A26" s="51" t="s">
        <v>3185</v>
      </c>
      <c r="B26" s="51" t="n">
        <v>22</v>
      </c>
      <c r="C26" s="52" t="s">
        <v>3186</v>
      </c>
      <c r="D26" s="53" t="s">
        <v>3187</v>
      </c>
      <c r="E26" s="54" t="s">
        <v>3188</v>
      </c>
      <c r="F26" s="54" t="s">
        <v>32</v>
      </c>
      <c r="G26" s="54" t="s">
        <v>3189</v>
      </c>
      <c r="H26" s="54" t="s">
        <v>3190</v>
      </c>
      <c r="I26" s="53" t="s">
        <v>3191</v>
      </c>
      <c r="J26" s="54" t="s">
        <v>3192</v>
      </c>
      <c r="K26" s="53" t="s">
        <v>3193</v>
      </c>
      <c r="L26" s="55" t="s">
        <v>8</v>
      </c>
      <c r="M26" s="68" t="n">
        <v>5</v>
      </c>
      <c r="N26" s="69" t="s">
        <v>3002</v>
      </c>
      <c r="O26" s="51" t="s">
        <v>95</v>
      </c>
      <c r="P26" s="54"/>
      <c r="Q26" s="54" t="s">
        <v>131</v>
      </c>
      <c r="R26" s="58" t="s">
        <v>132</v>
      </c>
      <c r="S26" s="54" t="s">
        <v>98</v>
      </c>
    </row>
    <row r="27" customFormat="false" ht="35.05" hidden="false" customHeight="false" outlineLevel="0" collapsed="false">
      <c r="A27" s="51" t="s">
        <v>3194</v>
      </c>
      <c r="B27" s="51" t="n">
        <v>23</v>
      </c>
      <c r="C27" s="52" t="s">
        <v>3195</v>
      </c>
      <c r="D27" s="53" t="s">
        <v>3196</v>
      </c>
      <c r="E27" s="54" t="s">
        <v>3197</v>
      </c>
      <c r="F27" s="54" t="s">
        <v>2996</v>
      </c>
      <c r="G27" s="54" t="s">
        <v>3198</v>
      </c>
      <c r="H27" s="54" t="s">
        <v>3199</v>
      </c>
      <c r="I27" s="53" t="s">
        <v>3200</v>
      </c>
      <c r="J27" s="54" t="s">
        <v>3201</v>
      </c>
      <c r="K27" s="53" t="s">
        <v>3202</v>
      </c>
      <c r="L27" s="55" t="s">
        <v>8</v>
      </c>
      <c r="M27" s="68" t="n">
        <v>5</v>
      </c>
      <c r="N27" s="69" t="s">
        <v>3002</v>
      </c>
      <c r="O27" s="51" t="s">
        <v>95</v>
      </c>
      <c r="P27" s="54"/>
      <c r="Q27" s="54" t="s">
        <v>131</v>
      </c>
      <c r="R27" s="58" t="s">
        <v>132</v>
      </c>
      <c r="S27" s="54" t="s">
        <v>98</v>
      </c>
    </row>
    <row r="28" customFormat="false" ht="35.05" hidden="false" customHeight="false" outlineLevel="0" collapsed="false">
      <c r="A28" s="51" t="s">
        <v>3203</v>
      </c>
      <c r="B28" s="51" t="n">
        <v>24</v>
      </c>
      <c r="C28" s="52" t="s">
        <v>3204</v>
      </c>
      <c r="D28" s="53" t="s">
        <v>3205</v>
      </c>
      <c r="E28" s="54" t="s">
        <v>3206</v>
      </c>
      <c r="F28" s="54" t="s">
        <v>32</v>
      </c>
      <c r="G28" s="54" t="s">
        <v>3207</v>
      </c>
      <c r="H28" s="54" t="s">
        <v>3208</v>
      </c>
      <c r="I28" s="53" t="s">
        <v>3209</v>
      </c>
      <c r="J28" s="54" t="s">
        <v>3210</v>
      </c>
      <c r="K28" s="53" t="s">
        <v>3211</v>
      </c>
      <c r="L28" s="60" t="s">
        <v>9</v>
      </c>
      <c r="M28" s="68" t="n">
        <v>5</v>
      </c>
      <c r="N28" s="69" t="s">
        <v>3002</v>
      </c>
      <c r="O28" s="51" t="s">
        <v>95</v>
      </c>
      <c r="P28" s="54"/>
      <c r="Q28" s="54" t="s">
        <v>131</v>
      </c>
      <c r="R28" s="58" t="s">
        <v>132</v>
      </c>
      <c r="S28" s="54" t="s">
        <v>98</v>
      </c>
    </row>
    <row r="29" customFormat="false" ht="35.05" hidden="false" customHeight="false" outlineLevel="0" collapsed="false">
      <c r="A29" s="51" t="s">
        <v>3212</v>
      </c>
      <c r="B29" s="51" t="n">
        <v>25</v>
      </c>
      <c r="C29" s="52" t="s">
        <v>3213</v>
      </c>
      <c r="D29" s="53" t="s">
        <v>3214</v>
      </c>
      <c r="E29" s="54" t="s">
        <v>2253</v>
      </c>
      <c r="F29" s="54" t="s">
        <v>176</v>
      </c>
      <c r="G29" s="54" t="s">
        <v>3215</v>
      </c>
      <c r="H29" s="54" t="s">
        <v>3216</v>
      </c>
      <c r="I29" s="53" t="s">
        <v>3217</v>
      </c>
      <c r="J29" s="54" t="s">
        <v>3218</v>
      </c>
      <c r="K29" s="53" t="s">
        <v>3219</v>
      </c>
      <c r="L29" s="60" t="s">
        <v>9</v>
      </c>
      <c r="M29" s="68" t="n">
        <v>5</v>
      </c>
      <c r="N29" s="69" t="s">
        <v>3002</v>
      </c>
      <c r="O29" s="51" t="s">
        <v>95</v>
      </c>
      <c r="P29" s="54"/>
      <c r="Q29" s="54" t="s">
        <v>131</v>
      </c>
      <c r="R29" s="58" t="s">
        <v>132</v>
      </c>
      <c r="S29" s="54" t="s">
        <v>98</v>
      </c>
    </row>
    <row r="30" customFormat="false" ht="35.05" hidden="false" customHeight="false" outlineLevel="0" collapsed="false">
      <c r="A30" s="51" t="s">
        <v>3220</v>
      </c>
      <c r="B30" s="51" t="n">
        <v>26</v>
      </c>
      <c r="C30" s="52" t="s">
        <v>3221</v>
      </c>
      <c r="D30" s="53" t="s">
        <v>3222</v>
      </c>
      <c r="E30" s="54" t="s">
        <v>3223</v>
      </c>
      <c r="F30" s="54" t="s">
        <v>32</v>
      </c>
      <c r="G30" s="54" t="s">
        <v>3224</v>
      </c>
      <c r="H30" s="54" t="s">
        <v>3225</v>
      </c>
      <c r="I30" s="53" t="s">
        <v>3226</v>
      </c>
      <c r="J30" s="54" t="s">
        <v>3227</v>
      </c>
      <c r="K30" s="53" t="s">
        <v>3228</v>
      </c>
      <c r="L30" s="60" t="s">
        <v>9</v>
      </c>
      <c r="M30" s="68" t="n">
        <v>5</v>
      </c>
      <c r="N30" s="69" t="s">
        <v>3002</v>
      </c>
      <c r="O30" s="51" t="s">
        <v>95</v>
      </c>
      <c r="P30" s="54"/>
      <c r="Q30" s="54" t="s">
        <v>131</v>
      </c>
      <c r="R30" s="58" t="s">
        <v>132</v>
      </c>
      <c r="S30" s="54" t="s">
        <v>98</v>
      </c>
    </row>
    <row r="31" customFormat="false" ht="35.05" hidden="false" customHeight="false" outlineLevel="0" collapsed="false">
      <c r="A31" s="51" t="s">
        <v>3229</v>
      </c>
      <c r="B31" s="51" t="n">
        <v>27</v>
      </c>
      <c r="C31" s="52" t="s">
        <v>3230</v>
      </c>
      <c r="D31" s="53" t="s">
        <v>3231</v>
      </c>
      <c r="E31" s="54" t="s">
        <v>3232</v>
      </c>
      <c r="F31" s="54" t="s">
        <v>261</v>
      </c>
      <c r="G31" s="54" t="s">
        <v>3233</v>
      </c>
      <c r="H31" s="54" t="s">
        <v>3234</v>
      </c>
      <c r="I31" s="53" t="s">
        <v>3235</v>
      </c>
      <c r="J31" s="54" t="s">
        <v>3236</v>
      </c>
      <c r="K31" s="53" t="s">
        <v>3237</v>
      </c>
      <c r="L31" s="60" t="s">
        <v>9</v>
      </c>
      <c r="M31" s="68" t="n">
        <v>5</v>
      </c>
      <c r="N31" s="69" t="s">
        <v>3002</v>
      </c>
      <c r="O31" s="51" t="s">
        <v>95</v>
      </c>
      <c r="P31" s="54"/>
      <c r="Q31" s="54" t="s">
        <v>131</v>
      </c>
      <c r="R31" s="58" t="s">
        <v>132</v>
      </c>
      <c r="S31" s="54" t="s">
        <v>98</v>
      </c>
    </row>
    <row r="32" customFormat="false" ht="35.05" hidden="false" customHeight="false" outlineLevel="0" collapsed="false">
      <c r="A32" s="51" t="s">
        <v>3238</v>
      </c>
      <c r="B32" s="51" t="n">
        <v>28</v>
      </c>
      <c r="C32" s="52" t="s">
        <v>3239</v>
      </c>
      <c r="D32" s="53" t="s">
        <v>3240</v>
      </c>
      <c r="E32" s="54" t="s">
        <v>3241</v>
      </c>
      <c r="F32" s="54" t="s">
        <v>2775</v>
      </c>
      <c r="G32" s="54" t="s">
        <v>3242</v>
      </c>
      <c r="H32" s="54" t="s">
        <v>3243</v>
      </c>
      <c r="I32" s="53" t="s">
        <v>3244</v>
      </c>
      <c r="J32" s="54" t="s">
        <v>3245</v>
      </c>
      <c r="K32" s="53" t="s">
        <v>3246</v>
      </c>
      <c r="L32" s="60" t="s">
        <v>9</v>
      </c>
      <c r="M32" s="68" t="n">
        <v>5</v>
      </c>
      <c r="N32" s="69" t="s">
        <v>3002</v>
      </c>
      <c r="O32" s="59" t="s">
        <v>161</v>
      </c>
      <c r="P32" s="54" t="s">
        <v>3247</v>
      </c>
      <c r="Q32" s="54" t="s">
        <v>516</v>
      </c>
      <c r="R32" s="58" t="s">
        <v>517</v>
      </c>
      <c r="S32" s="54" t="s">
        <v>98</v>
      </c>
    </row>
    <row r="33" customFormat="false" ht="35.05" hidden="false" customHeight="false" outlineLevel="0" collapsed="false">
      <c r="A33" s="51" t="s">
        <v>3248</v>
      </c>
      <c r="B33" s="51" t="n">
        <v>29</v>
      </c>
      <c r="C33" s="52" t="s">
        <v>3249</v>
      </c>
      <c r="D33" s="53" t="s">
        <v>3250</v>
      </c>
      <c r="E33" s="54" t="s">
        <v>3251</v>
      </c>
      <c r="F33" s="54" t="s">
        <v>32</v>
      </c>
      <c r="G33" s="54" t="s">
        <v>3252</v>
      </c>
      <c r="H33" s="54" t="s">
        <v>3253</v>
      </c>
      <c r="I33" s="53" t="s">
        <v>3254</v>
      </c>
      <c r="J33" s="54" t="s">
        <v>3255</v>
      </c>
      <c r="K33" s="53" t="s">
        <v>3256</v>
      </c>
      <c r="L33" s="60" t="s">
        <v>9</v>
      </c>
      <c r="M33" s="68" t="n">
        <v>5</v>
      </c>
      <c r="N33" s="69" t="s">
        <v>3002</v>
      </c>
      <c r="O33" s="51" t="s">
        <v>95</v>
      </c>
      <c r="P33" s="54"/>
      <c r="Q33" s="54" t="s">
        <v>131</v>
      </c>
      <c r="R33" s="58" t="s">
        <v>132</v>
      </c>
      <c r="S33" s="54" t="s">
        <v>98</v>
      </c>
    </row>
    <row r="34" customFormat="false" ht="35.05" hidden="false" customHeight="false" outlineLevel="0" collapsed="false">
      <c r="A34" s="51" t="s">
        <v>3257</v>
      </c>
      <c r="B34" s="51" t="n">
        <v>30</v>
      </c>
      <c r="C34" s="52" t="s">
        <v>3258</v>
      </c>
      <c r="D34" s="53" t="s">
        <v>3259</v>
      </c>
      <c r="E34" s="54" t="s">
        <v>3260</v>
      </c>
      <c r="F34" s="54" t="s">
        <v>32</v>
      </c>
      <c r="G34" s="54" t="s">
        <v>3261</v>
      </c>
      <c r="H34" s="54" t="s">
        <v>3262</v>
      </c>
      <c r="I34" s="53" t="s">
        <v>3263</v>
      </c>
      <c r="J34" s="54" t="s">
        <v>3264</v>
      </c>
      <c r="K34" s="53" t="s">
        <v>3265</v>
      </c>
      <c r="L34" s="60" t="s">
        <v>9</v>
      </c>
      <c r="M34" s="68" t="n">
        <v>5</v>
      </c>
      <c r="N34" s="69" t="s">
        <v>3002</v>
      </c>
      <c r="O34" s="51" t="s">
        <v>95</v>
      </c>
      <c r="P34" s="54"/>
      <c r="Q34" s="54" t="s">
        <v>131</v>
      </c>
      <c r="R34" s="58" t="s">
        <v>132</v>
      </c>
      <c r="S34" s="54" t="s">
        <v>98</v>
      </c>
    </row>
    <row r="35" customFormat="false" ht="46.25" hidden="false" customHeight="false" outlineLevel="0" collapsed="false">
      <c r="A35" s="51" t="s">
        <v>3266</v>
      </c>
      <c r="B35" s="51" t="n">
        <v>31</v>
      </c>
      <c r="C35" s="52" t="s">
        <v>3267</v>
      </c>
      <c r="D35" s="53" t="s">
        <v>3268</v>
      </c>
      <c r="E35" s="54" t="s">
        <v>3269</v>
      </c>
      <c r="F35" s="54" t="s">
        <v>125</v>
      </c>
      <c r="G35" s="54" t="s">
        <v>3270</v>
      </c>
      <c r="H35" s="54" t="s">
        <v>3271</v>
      </c>
      <c r="I35" s="53" t="s">
        <v>3272</v>
      </c>
      <c r="J35" s="54" t="s">
        <v>3273</v>
      </c>
      <c r="K35" s="53" t="s">
        <v>3274</v>
      </c>
      <c r="L35" s="60" t="s">
        <v>9</v>
      </c>
      <c r="M35" s="68" t="n">
        <v>5</v>
      </c>
      <c r="N35" s="69" t="s">
        <v>3002</v>
      </c>
      <c r="O35" s="51" t="s">
        <v>95</v>
      </c>
      <c r="P35" s="54"/>
      <c r="Q35" s="54" t="s">
        <v>621</v>
      </c>
      <c r="R35" s="58" t="s">
        <v>622</v>
      </c>
      <c r="S35" s="54" t="s">
        <v>98</v>
      </c>
    </row>
    <row r="36" customFormat="false" ht="35.05" hidden="false" customHeight="false" outlineLevel="0" collapsed="false">
      <c r="A36" s="51" t="s">
        <v>3275</v>
      </c>
      <c r="B36" s="51" t="n">
        <v>32</v>
      </c>
      <c r="C36" s="52" t="s">
        <v>3276</v>
      </c>
      <c r="D36" s="53" t="s">
        <v>3277</v>
      </c>
      <c r="E36" s="54" t="s">
        <v>3278</v>
      </c>
      <c r="F36" s="54" t="s">
        <v>115</v>
      </c>
      <c r="G36" s="54" t="s">
        <v>3279</v>
      </c>
      <c r="H36" s="54" t="s">
        <v>3280</v>
      </c>
      <c r="I36" s="53" t="s">
        <v>3281</v>
      </c>
      <c r="J36" s="54" t="s">
        <v>3282</v>
      </c>
      <c r="K36" s="53" t="s">
        <v>3283</v>
      </c>
      <c r="L36" s="60" t="s">
        <v>9</v>
      </c>
      <c r="M36" s="68" t="n">
        <v>5</v>
      </c>
      <c r="N36" s="69" t="s">
        <v>3002</v>
      </c>
      <c r="O36" s="51" t="s">
        <v>95</v>
      </c>
      <c r="P36" s="54"/>
      <c r="Q36" s="54" t="s">
        <v>131</v>
      </c>
      <c r="R36" s="58" t="s">
        <v>132</v>
      </c>
      <c r="S36" s="54" t="s">
        <v>98</v>
      </c>
    </row>
    <row r="37" customFormat="false" ht="35.05" hidden="false" customHeight="false" outlineLevel="0" collapsed="false">
      <c r="A37" s="51" t="s">
        <v>3284</v>
      </c>
      <c r="B37" s="51" t="n">
        <v>33</v>
      </c>
      <c r="C37" s="52" t="s">
        <v>3285</v>
      </c>
      <c r="D37" s="53" t="s">
        <v>3286</v>
      </c>
      <c r="E37" s="54" t="s">
        <v>3287</v>
      </c>
      <c r="F37" s="54" t="s">
        <v>32</v>
      </c>
      <c r="G37" s="54" t="s">
        <v>3288</v>
      </c>
      <c r="H37" s="54" t="s">
        <v>3289</v>
      </c>
      <c r="I37" s="53" t="s">
        <v>3290</v>
      </c>
      <c r="J37" s="54" t="s">
        <v>3291</v>
      </c>
      <c r="K37" s="53" t="s">
        <v>3292</v>
      </c>
      <c r="L37" s="60" t="s">
        <v>9</v>
      </c>
      <c r="M37" s="68" t="n">
        <v>5</v>
      </c>
      <c r="N37" s="69" t="s">
        <v>3002</v>
      </c>
      <c r="O37" s="51" t="s">
        <v>95</v>
      </c>
      <c r="P37" s="54"/>
      <c r="Q37" s="54" t="s">
        <v>131</v>
      </c>
      <c r="R37" s="58" t="s">
        <v>132</v>
      </c>
      <c r="S37" s="54" t="s">
        <v>98</v>
      </c>
    </row>
    <row r="38" customFormat="false" ht="35.05" hidden="false" customHeight="false" outlineLevel="0" collapsed="false">
      <c r="A38" s="51" t="s">
        <v>3293</v>
      </c>
      <c r="B38" s="51" t="n">
        <v>34</v>
      </c>
      <c r="C38" s="52" t="s">
        <v>3294</v>
      </c>
      <c r="D38" s="53" t="s">
        <v>3295</v>
      </c>
      <c r="E38" s="54" t="s">
        <v>3296</v>
      </c>
      <c r="F38" s="54" t="s">
        <v>32</v>
      </c>
      <c r="G38" s="54" t="s">
        <v>3297</v>
      </c>
      <c r="H38" s="54" t="s">
        <v>3298</v>
      </c>
      <c r="I38" s="53" t="s">
        <v>3299</v>
      </c>
      <c r="J38" s="54" t="s">
        <v>3300</v>
      </c>
      <c r="K38" s="53" t="s">
        <v>3301</v>
      </c>
      <c r="L38" s="60" t="s">
        <v>9</v>
      </c>
      <c r="M38" s="68" t="n">
        <v>5</v>
      </c>
      <c r="N38" s="69" t="s">
        <v>3002</v>
      </c>
      <c r="O38" s="51" t="s">
        <v>95</v>
      </c>
      <c r="P38" s="54"/>
      <c r="Q38" s="54" t="s">
        <v>131</v>
      </c>
      <c r="R38" s="58" t="s">
        <v>132</v>
      </c>
      <c r="S38" s="54" t="s">
        <v>98</v>
      </c>
    </row>
    <row r="39" customFormat="false" ht="35.05" hidden="false" customHeight="false" outlineLevel="0" collapsed="false">
      <c r="A39" s="51" t="s">
        <v>3302</v>
      </c>
      <c r="B39" s="51" t="n">
        <v>35</v>
      </c>
      <c r="C39" s="52" t="s">
        <v>3303</v>
      </c>
      <c r="D39" s="53" t="s">
        <v>3304</v>
      </c>
      <c r="E39" s="54" t="s">
        <v>3305</v>
      </c>
      <c r="F39" s="54" t="s">
        <v>32</v>
      </c>
      <c r="G39" s="54" t="s">
        <v>3306</v>
      </c>
      <c r="H39" s="54" t="s">
        <v>3307</v>
      </c>
      <c r="I39" s="53" t="s">
        <v>3308</v>
      </c>
      <c r="J39" s="54" t="s">
        <v>3309</v>
      </c>
      <c r="K39" s="53" t="s">
        <v>3310</v>
      </c>
      <c r="L39" s="60" t="s">
        <v>9</v>
      </c>
      <c r="M39" s="68" t="n">
        <v>5</v>
      </c>
      <c r="N39" s="69" t="s">
        <v>3002</v>
      </c>
      <c r="O39" s="51" t="s">
        <v>95</v>
      </c>
      <c r="P39" s="54"/>
      <c r="Q39" s="54" t="s">
        <v>131</v>
      </c>
      <c r="R39" s="58" t="s">
        <v>132</v>
      </c>
      <c r="S39" s="54" t="s">
        <v>98</v>
      </c>
    </row>
    <row r="40" customFormat="false" ht="35.05" hidden="false" customHeight="false" outlineLevel="0" collapsed="false">
      <c r="A40" s="51" t="s">
        <v>3311</v>
      </c>
      <c r="B40" s="51" t="n">
        <v>36</v>
      </c>
      <c r="C40" s="52" t="s">
        <v>3312</v>
      </c>
      <c r="D40" s="53" t="s">
        <v>3313</v>
      </c>
      <c r="E40" s="54" t="s">
        <v>3314</v>
      </c>
      <c r="F40" s="54" t="s">
        <v>32</v>
      </c>
      <c r="G40" s="54" t="s">
        <v>3315</v>
      </c>
      <c r="H40" s="54" t="s">
        <v>3316</v>
      </c>
      <c r="I40" s="53" t="s">
        <v>3317</v>
      </c>
      <c r="J40" s="54" t="s">
        <v>3318</v>
      </c>
      <c r="K40" s="53" t="s">
        <v>3319</v>
      </c>
      <c r="L40" s="60" t="s">
        <v>9</v>
      </c>
      <c r="M40" s="68" t="n">
        <v>5</v>
      </c>
      <c r="N40" s="69" t="s">
        <v>3002</v>
      </c>
      <c r="O40" s="51" t="s">
        <v>95</v>
      </c>
      <c r="P40" s="54"/>
      <c r="Q40" s="54" t="s">
        <v>131</v>
      </c>
      <c r="R40" s="58" t="s">
        <v>132</v>
      </c>
      <c r="S40" s="54" t="s">
        <v>98</v>
      </c>
    </row>
    <row r="41" customFormat="false" ht="35.05" hidden="false" customHeight="false" outlineLevel="0" collapsed="false">
      <c r="A41" s="51" t="s">
        <v>3320</v>
      </c>
      <c r="B41" s="51" t="n">
        <v>37</v>
      </c>
      <c r="C41" s="52" t="s">
        <v>3321</v>
      </c>
      <c r="D41" s="53" t="s">
        <v>3322</v>
      </c>
      <c r="E41" s="54" t="s">
        <v>3323</v>
      </c>
      <c r="F41" s="54" t="s">
        <v>115</v>
      </c>
      <c r="G41" s="54" t="s">
        <v>3324</v>
      </c>
      <c r="H41" s="54" t="s">
        <v>3325</v>
      </c>
      <c r="I41" s="53" t="s">
        <v>3326</v>
      </c>
      <c r="J41" s="54" t="s">
        <v>3327</v>
      </c>
      <c r="K41" s="53" t="s">
        <v>3328</v>
      </c>
      <c r="L41" s="60" t="s">
        <v>9</v>
      </c>
      <c r="M41" s="68" t="n">
        <v>5</v>
      </c>
      <c r="N41" s="69" t="s">
        <v>3002</v>
      </c>
      <c r="O41" s="51" t="s">
        <v>95</v>
      </c>
      <c r="P41" s="54"/>
      <c r="Q41" s="54" t="s">
        <v>131</v>
      </c>
      <c r="R41" s="58" t="s">
        <v>132</v>
      </c>
      <c r="S41" s="54" t="s">
        <v>98</v>
      </c>
    </row>
    <row r="42" customFormat="false" ht="35.05" hidden="false" customHeight="false" outlineLevel="0" collapsed="false">
      <c r="A42" s="51" t="s">
        <v>3329</v>
      </c>
      <c r="B42" s="51" t="n">
        <v>38</v>
      </c>
      <c r="C42" s="52" t="s">
        <v>3330</v>
      </c>
      <c r="D42" s="53" t="s">
        <v>3331</v>
      </c>
      <c r="E42" s="54" t="s">
        <v>3332</v>
      </c>
      <c r="F42" s="54" t="s">
        <v>32</v>
      </c>
      <c r="G42" s="54" t="s">
        <v>3333</v>
      </c>
      <c r="H42" s="54" t="s">
        <v>3334</v>
      </c>
      <c r="I42" s="53" t="s">
        <v>3335</v>
      </c>
      <c r="J42" s="54" t="s">
        <v>3336</v>
      </c>
      <c r="K42" s="53" t="s">
        <v>3337</v>
      </c>
      <c r="L42" s="60" t="s">
        <v>9</v>
      </c>
      <c r="M42" s="68" t="n">
        <v>5</v>
      </c>
      <c r="N42" s="69" t="s">
        <v>3002</v>
      </c>
      <c r="O42" s="51" t="s">
        <v>95</v>
      </c>
      <c r="P42" s="54"/>
      <c r="Q42" s="54" t="s">
        <v>131</v>
      </c>
      <c r="R42" s="58" t="s">
        <v>132</v>
      </c>
      <c r="S42" s="54" t="s">
        <v>98</v>
      </c>
    </row>
    <row r="43" customFormat="false" ht="35.05" hidden="false" customHeight="false" outlineLevel="0" collapsed="false">
      <c r="A43" s="51" t="s">
        <v>3338</v>
      </c>
      <c r="B43" s="51" t="n">
        <v>39</v>
      </c>
      <c r="C43" s="52" t="s">
        <v>3339</v>
      </c>
      <c r="D43" s="53" t="s">
        <v>3340</v>
      </c>
      <c r="E43" s="54" t="s">
        <v>3341</v>
      </c>
      <c r="F43" s="54" t="s">
        <v>32</v>
      </c>
      <c r="G43" s="54" t="s">
        <v>3342</v>
      </c>
      <c r="H43" s="54" t="s">
        <v>3343</v>
      </c>
      <c r="I43" s="53" t="s">
        <v>3344</v>
      </c>
      <c r="J43" s="54" t="s">
        <v>3345</v>
      </c>
      <c r="K43" s="53" t="s">
        <v>3346</v>
      </c>
      <c r="L43" s="60" t="s">
        <v>9</v>
      </c>
      <c r="M43" s="68" t="n">
        <v>5</v>
      </c>
      <c r="N43" s="69" t="s">
        <v>3002</v>
      </c>
      <c r="O43" s="51" t="s">
        <v>95</v>
      </c>
      <c r="P43" s="54"/>
      <c r="Q43" s="54" t="s">
        <v>131</v>
      </c>
      <c r="R43" s="58" t="s">
        <v>132</v>
      </c>
      <c r="S43" s="54" t="s">
        <v>98</v>
      </c>
    </row>
    <row r="44" customFormat="false" ht="35.05" hidden="false" customHeight="false" outlineLevel="0" collapsed="false">
      <c r="A44" s="51" t="s">
        <v>3347</v>
      </c>
      <c r="B44" s="51" t="n">
        <v>40</v>
      </c>
      <c r="C44" s="52" t="s">
        <v>3348</v>
      </c>
      <c r="D44" s="53" t="s">
        <v>3349</v>
      </c>
      <c r="E44" s="54" t="s">
        <v>3350</v>
      </c>
      <c r="F44" s="54" t="s">
        <v>261</v>
      </c>
      <c r="G44" s="54" t="s">
        <v>3351</v>
      </c>
      <c r="H44" s="54" t="s">
        <v>3352</v>
      </c>
      <c r="I44" s="53" t="s">
        <v>3353</v>
      </c>
      <c r="J44" s="54" t="s">
        <v>3354</v>
      </c>
      <c r="K44" s="53" t="s">
        <v>3355</v>
      </c>
      <c r="L44" s="60" t="s">
        <v>9</v>
      </c>
      <c r="M44" s="68" t="n">
        <v>5</v>
      </c>
      <c r="N44" s="69" t="s">
        <v>3002</v>
      </c>
      <c r="O44" s="51" t="s">
        <v>95</v>
      </c>
      <c r="P44" s="54"/>
      <c r="Q44" s="54" t="s">
        <v>131</v>
      </c>
      <c r="R44" s="58" t="s">
        <v>132</v>
      </c>
      <c r="S44" s="54" t="s">
        <v>98</v>
      </c>
    </row>
    <row r="45" customFormat="false" ht="35.05" hidden="false" customHeight="false" outlineLevel="0" collapsed="false">
      <c r="A45" s="51" t="s">
        <v>3356</v>
      </c>
      <c r="B45" s="51" t="n">
        <v>41</v>
      </c>
      <c r="C45" s="52" t="s">
        <v>3357</v>
      </c>
      <c r="D45" s="53" t="s">
        <v>3358</v>
      </c>
      <c r="E45" s="54" t="s">
        <v>3359</v>
      </c>
      <c r="F45" s="54" t="s">
        <v>261</v>
      </c>
      <c r="G45" s="54" t="s">
        <v>3360</v>
      </c>
      <c r="H45" s="54" t="s">
        <v>3361</v>
      </c>
      <c r="I45" s="53" t="s">
        <v>3362</v>
      </c>
      <c r="J45" s="54" t="s">
        <v>3363</v>
      </c>
      <c r="K45" s="53" t="s">
        <v>3364</v>
      </c>
      <c r="L45" s="60" t="s">
        <v>9</v>
      </c>
      <c r="M45" s="68" t="n">
        <v>5</v>
      </c>
      <c r="N45" s="69" t="s">
        <v>3002</v>
      </c>
      <c r="O45" s="59" t="s">
        <v>161</v>
      </c>
      <c r="P45" s="54" t="s">
        <v>1507</v>
      </c>
      <c r="Q45" s="54" t="s">
        <v>131</v>
      </c>
      <c r="R45" s="58" t="s">
        <v>132</v>
      </c>
      <c r="S45" s="54" t="s">
        <v>98</v>
      </c>
    </row>
    <row r="46" customFormat="false" ht="35.05" hidden="false" customHeight="false" outlineLevel="0" collapsed="false">
      <c r="A46" s="51" t="s">
        <v>3365</v>
      </c>
      <c r="B46" s="51" t="n">
        <v>42</v>
      </c>
      <c r="C46" s="52" t="s">
        <v>3366</v>
      </c>
      <c r="D46" s="53" t="s">
        <v>3367</v>
      </c>
      <c r="E46" s="54" t="s">
        <v>3368</v>
      </c>
      <c r="F46" s="54" t="s">
        <v>3132</v>
      </c>
      <c r="G46" s="54" t="s">
        <v>3369</v>
      </c>
      <c r="H46" s="54" t="s">
        <v>3370</v>
      </c>
      <c r="I46" s="53" t="s">
        <v>3371</v>
      </c>
      <c r="J46" s="54" t="s">
        <v>3372</v>
      </c>
      <c r="K46" s="53" t="s">
        <v>3373</v>
      </c>
      <c r="L46" s="60" t="s">
        <v>9</v>
      </c>
      <c r="M46" s="68" t="n">
        <v>5</v>
      </c>
      <c r="N46" s="69" t="s">
        <v>3002</v>
      </c>
      <c r="O46" s="51" t="s">
        <v>95</v>
      </c>
      <c r="P46" s="54"/>
      <c r="Q46" s="54" t="s">
        <v>131</v>
      </c>
      <c r="R46" s="58" t="s">
        <v>132</v>
      </c>
      <c r="S46" s="54" t="s">
        <v>98</v>
      </c>
    </row>
    <row r="47" customFormat="false" ht="35.05" hidden="false" customHeight="false" outlineLevel="0" collapsed="false">
      <c r="A47" s="51" t="s">
        <v>3374</v>
      </c>
      <c r="B47" s="51" t="n">
        <v>43</v>
      </c>
      <c r="C47" s="52" t="s">
        <v>3375</v>
      </c>
      <c r="D47" s="53" t="s">
        <v>3376</v>
      </c>
      <c r="E47" s="54" t="s">
        <v>3377</v>
      </c>
      <c r="F47" s="54" t="s">
        <v>32</v>
      </c>
      <c r="G47" s="54" t="s">
        <v>3378</v>
      </c>
      <c r="H47" s="54" t="s">
        <v>3379</v>
      </c>
      <c r="I47" s="53" t="s">
        <v>3380</v>
      </c>
      <c r="J47" s="54" t="s">
        <v>3381</v>
      </c>
      <c r="K47" s="53" t="s">
        <v>3382</v>
      </c>
      <c r="L47" s="60" t="s">
        <v>9</v>
      </c>
      <c r="M47" s="68" t="n">
        <v>5</v>
      </c>
      <c r="N47" s="69" t="s">
        <v>3002</v>
      </c>
      <c r="O47" s="51" t="s">
        <v>95</v>
      </c>
      <c r="P47" s="54"/>
      <c r="Q47" s="54" t="s">
        <v>131</v>
      </c>
      <c r="R47" s="58" t="s">
        <v>132</v>
      </c>
      <c r="S47" s="54" t="s">
        <v>98</v>
      </c>
    </row>
    <row r="48" customFormat="false" ht="35.05" hidden="false" customHeight="false" outlineLevel="0" collapsed="false">
      <c r="A48" s="51" t="s">
        <v>3383</v>
      </c>
      <c r="B48" s="51" t="n">
        <v>44</v>
      </c>
      <c r="C48" s="52" t="s">
        <v>3384</v>
      </c>
      <c r="D48" s="53" t="s">
        <v>3385</v>
      </c>
      <c r="E48" s="54" t="s">
        <v>3386</v>
      </c>
      <c r="F48" s="54" t="s">
        <v>3132</v>
      </c>
      <c r="G48" s="54" t="s">
        <v>3387</v>
      </c>
      <c r="H48" s="54" t="s">
        <v>3388</v>
      </c>
      <c r="I48" s="53" t="s">
        <v>3389</v>
      </c>
      <c r="J48" s="54" t="s">
        <v>3390</v>
      </c>
      <c r="K48" s="53" t="s">
        <v>3391</v>
      </c>
      <c r="L48" s="60" t="s">
        <v>9</v>
      </c>
      <c r="M48" s="68" t="n">
        <v>5</v>
      </c>
      <c r="N48" s="69" t="s">
        <v>3002</v>
      </c>
      <c r="O48" s="51" t="s">
        <v>95</v>
      </c>
      <c r="P48" s="54"/>
      <c r="Q48" s="54" t="s">
        <v>131</v>
      </c>
      <c r="R48" s="58" t="s">
        <v>132</v>
      </c>
      <c r="S48" s="54" t="s">
        <v>98</v>
      </c>
    </row>
    <row r="49" customFormat="false" ht="35.05" hidden="false" customHeight="false" outlineLevel="0" collapsed="false">
      <c r="A49" s="51" t="s">
        <v>3392</v>
      </c>
      <c r="B49" s="51" t="n">
        <v>45</v>
      </c>
      <c r="C49" s="52" t="s">
        <v>3393</v>
      </c>
      <c r="D49" s="53" t="s">
        <v>3394</v>
      </c>
      <c r="E49" s="54" t="s">
        <v>3395</v>
      </c>
      <c r="F49" s="54" t="s">
        <v>2029</v>
      </c>
      <c r="G49" s="54" t="s">
        <v>3396</v>
      </c>
      <c r="H49" s="54" t="s">
        <v>3397</v>
      </c>
      <c r="I49" s="53" t="s">
        <v>3398</v>
      </c>
      <c r="J49" s="54" t="s">
        <v>3399</v>
      </c>
      <c r="K49" s="53" t="s">
        <v>3400</v>
      </c>
      <c r="L49" s="60" t="s">
        <v>9</v>
      </c>
      <c r="M49" s="68" t="n">
        <v>5</v>
      </c>
      <c r="N49" s="69" t="s">
        <v>3002</v>
      </c>
      <c r="O49" s="51" t="s">
        <v>95</v>
      </c>
      <c r="P49" s="54"/>
      <c r="Q49" s="54" t="s">
        <v>516</v>
      </c>
      <c r="R49" s="58" t="s">
        <v>517</v>
      </c>
      <c r="S49" s="54" t="s">
        <v>98</v>
      </c>
    </row>
    <row r="50" customFormat="false" ht="35.05" hidden="false" customHeight="false" outlineLevel="0" collapsed="false">
      <c r="A50" s="51" t="s">
        <v>3401</v>
      </c>
      <c r="B50" s="51" t="n">
        <v>46</v>
      </c>
      <c r="C50" s="52" t="s">
        <v>3402</v>
      </c>
      <c r="D50" s="53" t="s">
        <v>3403</v>
      </c>
      <c r="E50" s="54" t="s">
        <v>3404</v>
      </c>
      <c r="F50" s="54" t="s">
        <v>548</v>
      </c>
      <c r="G50" s="54" t="s">
        <v>3405</v>
      </c>
      <c r="H50" s="54" t="s">
        <v>3406</v>
      </c>
      <c r="I50" s="53" t="s">
        <v>3407</v>
      </c>
      <c r="J50" s="54" t="s">
        <v>3408</v>
      </c>
      <c r="K50" s="53" t="s">
        <v>3409</v>
      </c>
      <c r="L50" s="60" t="s">
        <v>9</v>
      </c>
      <c r="M50" s="68" t="n">
        <v>5</v>
      </c>
      <c r="N50" s="69" t="s">
        <v>3002</v>
      </c>
      <c r="O50" s="51" t="s">
        <v>95</v>
      </c>
      <c r="P50" s="54"/>
      <c r="Q50" s="54" t="s">
        <v>131</v>
      </c>
      <c r="R50" s="58" t="s">
        <v>132</v>
      </c>
      <c r="S50" s="54" t="s">
        <v>98</v>
      </c>
    </row>
    <row r="51" customFormat="false" ht="35.05" hidden="false" customHeight="false" outlineLevel="0" collapsed="false">
      <c r="A51" s="51" t="s">
        <v>3410</v>
      </c>
      <c r="B51" s="51" t="n">
        <v>47</v>
      </c>
      <c r="C51" s="52" t="s">
        <v>3411</v>
      </c>
      <c r="D51" s="53" t="s">
        <v>3412</v>
      </c>
      <c r="E51" s="54" t="s">
        <v>3413</v>
      </c>
      <c r="F51" s="54" t="s">
        <v>32</v>
      </c>
      <c r="G51" s="54" t="s">
        <v>3414</v>
      </c>
      <c r="H51" s="54" t="s">
        <v>3415</v>
      </c>
      <c r="I51" s="53" t="s">
        <v>3416</v>
      </c>
      <c r="J51" s="54" t="s">
        <v>3417</v>
      </c>
      <c r="K51" s="53" t="s">
        <v>3418</v>
      </c>
      <c r="L51" s="61" t="s">
        <v>10</v>
      </c>
      <c r="M51" s="68" t="n">
        <v>5</v>
      </c>
      <c r="N51" s="69" t="s">
        <v>3002</v>
      </c>
      <c r="O51" s="51" t="s">
        <v>95</v>
      </c>
      <c r="P51" s="54"/>
      <c r="Q51" s="54" t="s">
        <v>131</v>
      </c>
      <c r="R51" s="58" t="s">
        <v>132</v>
      </c>
      <c r="S51" s="54" t="s">
        <v>98</v>
      </c>
    </row>
    <row r="52" customFormat="false" ht="35.05" hidden="false" customHeight="false" outlineLevel="0" collapsed="false">
      <c r="A52" s="51" t="s">
        <v>3419</v>
      </c>
      <c r="B52" s="51" t="n">
        <v>48</v>
      </c>
      <c r="C52" s="52" t="s">
        <v>3420</v>
      </c>
      <c r="D52" s="53" t="s">
        <v>3421</v>
      </c>
      <c r="E52" s="54" t="s">
        <v>3422</v>
      </c>
      <c r="F52" s="54" t="s">
        <v>32</v>
      </c>
      <c r="G52" s="54" t="s">
        <v>3423</v>
      </c>
      <c r="H52" s="54" t="s">
        <v>3424</v>
      </c>
      <c r="I52" s="53" t="s">
        <v>3425</v>
      </c>
      <c r="J52" s="54" t="s">
        <v>3426</v>
      </c>
      <c r="K52" s="53" t="s">
        <v>3427</v>
      </c>
      <c r="L52" s="61" t="s">
        <v>10</v>
      </c>
      <c r="M52" s="68" t="n">
        <v>5</v>
      </c>
      <c r="N52" s="69" t="s">
        <v>3002</v>
      </c>
      <c r="O52" s="51" t="s">
        <v>95</v>
      </c>
      <c r="P52" s="54"/>
      <c r="Q52" s="54" t="s">
        <v>131</v>
      </c>
      <c r="R52" s="58" t="s">
        <v>132</v>
      </c>
      <c r="S52" s="54" t="s">
        <v>98</v>
      </c>
    </row>
    <row r="53" customFormat="false" ht="35.05" hidden="false" customHeight="false" outlineLevel="0" collapsed="false">
      <c r="A53" s="51" t="s">
        <v>3428</v>
      </c>
      <c r="B53" s="51" t="n">
        <v>49</v>
      </c>
      <c r="C53" s="52" t="s">
        <v>3429</v>
      </c>
      <c r="D53" s="53" t="s">
        <v>3430</v>
      </c>
      <c r="E53" s="54" t="s">
        <v>3431</v>
      </c>
      <c r="F53" s="54" t="s">
        <v>32</v>
      </c>
      <c r="G53" s="54" t="s">
        <v>3432</v>
      </c>
      <c r="H53" s="54" t="s">
        <v>3433</v>
      </c>
      <c r="I53" s="53" t="s">
        <v>3434</v>
      </c>
      <c r="J53" s="54" t="s">
        <v>3435</v>
      </c>
      <c r="K53" s="53" t="s">
        <v>3436</v>
      </c>
      <c r="L53" s="61" t="s">
        <v>10</v>
      </c>
      <c r="M53" s="68" t="n">
        <v>5</v>
      </c>
      <c r="N53" s="69" t="s">
        <v>3002</v>
      </c>
      <c r="O53" s="51" t="s">
        <v>95</v>
      </c>
      <c r="P53" s="54"/>
      <c r="Q53" s="54" t="s">
        <v>131</v>
      </c>
      <c r="R53" s="58" t="s">
        <v>132</v>
      </c>
      <c r="S53" s="54" t="s">
        <v>98</v>
      </c>
    </row>
    <row r="54" customFormat="false" ht="35.05" hidden="false" customHeight="false" outlineLevel="0" collapsed="false">
      <c r="A54" s="51" t="s">
        <v>3437</v>
      </c>
      <c r="B54" s="51" t="n">
        <v>50</v>
      </c>
      <c r="C54" s="52" t="s">
        <v>3438</v>
      </c>
      <c r="D54" s="53" t="s">
        <v>3439</v>
      </c>
      <c r="E54" s="54" t="s">
        <v>3440</v>
      </c>
      <c r="F54" s="54" t="s">
        <v>261</v>
      </c>
      <c r="G54" s="54" t="s">
        <v>3441</v>
      </c>
      <c r="H54" s="54" t="s">
        <v>3442</v>
      </c>
      <c r="I54" s="53" t="s">
        <v>3443</v>
      </c>
      <c r="J54" s="54" t="s">
        <v>3444</v>
      </c>
      <c r="K54" s="53" t="s">
        <v>3445</v>
      </c>
      <c r="L54" s="61" t="s">
        <v>10</v>
      </c>
      <c r="M54" s="68" t="n">
        <v>5</v>
      </c>
      <c r="N54" s="69" t="s">
        <v>3002</v>
      </c>
      <c r="O54" s="51" t="s">
        <v>95</v>
      </c>
      <c r="P54" s="54"/>
      <c r="Q54" s="54" t="s">
        <v>131</v>
      </c>
      <c r="R54" s="58" t="s">
        <v>132</v>
      </c>
      <c r="S54" s="54" t="s">
        <v>98</v>
      </c>
    </row>
    <row r="55" customFormat="false" ht="35.05" hidden="false" customHeight="false" outlineLevel="0" collapsed="false">
      <c r="A55" s="51" t="s">
        <v>3446</v>
      </c>
      <c r="B55" s="51" t="n">
        <v>51</v>
      </c>
      <c r="C55" s="52" t="s">
        <v>3447</v>
      </c>
      <c r="D55" s="53" t="s">
        <v>3448</v>
      </c>
      <c r="E55" s="54" t="s">
        <v>3449</v>
      </c>
      <c r="F55" s="54" t="s">
        <v>261</v>
      </c>
      <c r="G55" s="54" t="s">
        <v>3450</v>
      </c>
      <c r="H55" s="54" t="s">
        <v>3451</v>
      </c>
      <c r="I55" s="53" t="s">
        <v>3452</v>
      </c>
      <c r="J55" s="54" t="s">
        <v>3453</v>
      </c>
      <c r="K55" s="53" t="s">
        <v>3454</v>
      </c>
      <c r="L55" s="61" t="s">
        <v>10</v>
      </c>
      <c r="M55" s="68" t="n">
        <v>5</v>
      </c>
      <c r="N55" s="69" t="s">
        <v>3002</v>
      </c>
      <c r="O55" s="51" t="s">
        <v>95</v>
      </c>
      <c r="P55" s="54"/>
      <c r="Q55" s="54" t="s">
        <v>131</v>
      </c>
      <c r="R55" s="58" t="s">
        <v>132</v>
      </c>
      <c r="S55" s="54" t="s">
        <v>98</v>
      </c>
    </row>
    <row r="56" customFormat="false" ht="35.05" hidden="false" customHeight="false" outlineLevel="0" collapsed="false">
      <c r="A56" s="51" t="s">
        <v>3455</v>
      </c>
      <c r="B56" s="51" t="n">
        <v>52</v>
      </c>
      <c r="C56" s="52" t="s">
        <v>3456</v>
      </c>
      <c r="D56" s="53" t="s">
        <v>3457</v>
      </c>
      <c r="E56" s="54" t="s">
        <v>3458</v>
      </c>
      <c r="F56" s="54" t="s">
        <v>3132</v>
      </c>
      <c r="G56" s="54" t="s">
        <v>3459</v>
      </c>
      <c r="H56" s="54" t="s">
        <v>3460</v>
      </c>
      <c r="I56" s="53" t="s">
        <v>3461</v>
      </c>
      <c r="J56" s="54" t="s">
        <v>3462</v>
      </c>
      <c r="K56" s="53" t="s">
        <v>3463</v>
      </c>
      <c r="L56" s="61" t="s">
        <v>10</v>
      </c>
      <c r="M56" s="68" t="n">
        <v>5</v>
      </c>
      <c r="N56" s="69" t="s">
        <v>3002</v>
      </c>
      <c r="O56" s="51" t="s">
        <v>95</v>
      </c>
      <c r="P56" s="54"/>
      <c r="Q56" s="54" t="s">
        <v>131</v>
      </c>
      <c r="R56" s="58" t="s">
        <v>132</v>
      </c>
      <c r="S56" s="54" t="s">
        <v>98</v>
      </c>
    </row>
  </sheetData>
  <autoFilter ref="A4:S56"/>
  <mergeCells count="2">
    <mergeCell ref="A1:S1"/>
    <mergeCell ref="A2:S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3935"/>
    <pageSetUpPr fitToPage="true"/>
  </sheetPr>
  <dimension ref="A1:S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
    <col collapsed="false" customWidth="true" hidden="false" outlineLevel="0" max="3" min="3" style="0" width="30"/>
    <col collapsed="false" customWidth="true" hidden="false" outlineLevel="0" max="4" min="4" style="0" width="26"/>
    <col collapsed="false" customWidth="true" hidden="false" outlineLevel="0" max="5" min="5" style="0" width="24"/>
    <col collapsed="false" customWidth="true" hidden="false" outlineLevel="0" max="6" min="6" style="0" width="22"/>
    <col collapsed="false" customWidth="true" hidden="false" outlineLevel="0" max="7" min="7" style="0" width="55"/>
    <col collapsed="false" customWidth="true" hidden="false" outlineLevel="0" max="8" min="8" style="0" width="46"/>
    <col collapsed="false" customWidth="true" hidden="false" outlineLevel="0" max="9" min="9" style="0" width="44"/>
    <col collapsed="false" customWidth="true" hidden="false" outlineLevel="0" max="10" min="10" style="0" width="46"/>
    <col collapsed="false" customWidth="true" hidden="false" outlineLevel="0" max="11" min="11" style="0" width="44"/>
    <col collapsed="false" customWidth="true" hidden="false" outlineLevel="0" max="12" min="12" style="0" width="14"/>
    <col collapsed="false" customWidth="true" hidden="false" outlineLevel="0" max="13" min="13" style="0" width="8"/>
    <col collapsed="false" customWidth="true" hidden="false" outlineLevel="0" max="14" min="14" style="0" width="30"/>
    <col collapsed="false" customWidth="true" hidden="false" outlineLevel="0" max="15" min="15" style="0" width="12"/>
    <col collapsed="false" customWidth="true" hidden="false" outlineLevel="0" max="16" min="16" style="0" width="24"/>
    <col collapsed="false" customWidth="true" hidden="false" outlineLevel="0" max="17" min="17" style="0" width="28"/>
    <col collapsed="false" customWidth="true" hidden="false" outlineLevel="0" max="18" min="18" style="0" width="45"/>
    <col collapsed="false" customWidth="true" hidden="false" outlineLevel="0" max="19" min="19" style="0" width="50"/>
  </cols>
  <sheetData>
    <row r="1" customFormat="false" ht="17.15" hidden="false" customHeight="false" outlineLevel="0" collapsed="false">
      <c r="A1" s="1" t="s">
        <v>4074</v>
      </c>
      <c r="B1" s="1"/>
      <c r="C1" s="1"/>
      <c r="D1" s="1"/>
      <c r="E1" s="1"/>
      <c r="F1" s="1"/>
      <c r="G1" s="1"/>
      <c r="H1" s="1"/>
      <c r="I1" s="1"/>
      <c r="J1" s="1"/>
      <c r="K1" s="1"/>
      <c r="L1" s="1"/>
      <c r="M1" s="1"/>
      <c r="N1" s="1"/>
      <c r="O1" s="1"/>
      <c r="P1" s="1"/>
      <c r="Q1" s="1"/>
      <c r="R1" s="1"/>
      <c r="S1" s="1"/>
    </row>
    <row r="2" customFormat="false" ht="11.9" hidden="false" customHeight="false" outlineLevel="0" collapsed="false">
      <c r="A2" s="2" t="s">
        <v>4075</v>
      </c>
      <c r="B2" s="2"/>
      <c r="C2" s="2"/>
      <c r="D2" s="2"/>
      <c r="E2" s="2"/>
      <c r="F2" s="2"/>
      <c r="G2" s="2"/>
      <c r="H2" s="2"/>
      <c r="I2" s="2"/>
      <c r="J2" s="2"/>
      <c r="K2" s="2"/>
      <c r="L2" s="2"/>
      <c r="M2" s="2"/>
      <c r="N2" s="2"/>
      <c r="O2" s="2"/>
      <c r="P2" s="2"/>
      <c r="Q2" s="2"/>
      <c r="R2" s="2"/>
      <c r="S2" s="2"/>
    </row>
    <row r="4" customFormat="false" ht="30" hidden="false" customHeight="true" outlineLevel="0" collapsed="false">
      <c r="A4" s="3" t="s">
        <v>50</v>
      </c>
      <c r="B4" s="3" t="s">
        <v>74</v>
      </c>
      <c r="C4" s="3" t="s">
        <v>75</v>
      </c>
      <c r="D4" s="3" t="s">
        <v>76</v>
      </c>
      <c r="E4" s="3" t="s">
        <v>54</v>
      </c>
      <c r="F4" s="3" t="s">
        <v>56</v>
      </c>
      <c r="G4" s="3" t="s">
        <v>58</v>
      </c>
      <c r="H4" s="3" t="s">
        <v>77</v>
      </c>
      <c r="I4" s="3" t="s">
        <v>78</v>
      </c>
      <c r="J4" s="3" t="s">
        <v>79</v>
      </c>
      <c r="K4" s="3" t="s">
        <v>80</v>
      </c>
      <c r="L4" s="3" t="s">
        <v>62</v>
      </c>
      <c r="M4" s="3" t="s">
        <v>2</v>
      </c>
      <c r="N4" s="3" t="s">
        <v>81</v>
      </c>
      <c r="O4" s="3" t="s">
        <v>64</v>
      </c>
      <c r="P4" s="3" t="s">
        <v>66</v>
      </c>
      <c r="Q4" s="3" t="s">
        <v>82</v>
      </c>
      <c r="R4" s="3" t="s">
        <v>83</v>
      </c>
      <c r="S4" s="3" t="s">
        <v>70</v>
      </c>
    </row>
    <row r="5" customFormat="false" ht="35.05" hidden="false" customHeight="false" outlineLevel="0" collapsed="false">
      <c r="A5" s="51" t="s">
        <v>3464</v>
      </c>
      <c r="B5" s="51" t="n">
        <v>1</v>
      </c>
      <c r="C5" s="52" t="s">
        <v>3465</v>
      </c>
      <c r="D5" s="53" t="s">
        <v>3466</v>
      </c>
      <c r="E5" s="54" t="s">
        <v>3467</v>
      </c>
      <c r="F5" s="54" t="s">
        <v>103</v>
      </c>
      <c r="G5" s="54" t="s">
        <v>3468</v>
      </c>
      <c r="H5" s="54" t="s">
        <v>3469</v>
      </c>
      <c r="I5" s="53" t="s">
        <v>3470</v>
      </c>
      <c r="J5" s="54" t="s">
        <v>3471</v>
      </c>
      <c r="K5" s="53" t="s">
        <v>3472</v>
      </c>
      <c r="L5" s="55" t="s">
        <v>8</v>
      </c>
      <c r="M5" s="70" t="n">
        <v>6</v>
      </c>
      <c r="N5" s="71" t="s">
        <v>3473</v>
      </c>
      <c r="O5" s="51" t="s">
        <v>95</v>
      </c>
      <c r="P5" s="54"/>
      <c r="Q5" s="54" t="s">
        <v>131</v>
      </c>
      <c r="R5" s="58" t="s">
        <v>132</v>
      </c>
      <c r="S5" s="54" t="s">
        <v>98</v>
      </c>
    </row>
    <row r="6" customFormat="false" ht="35.05" hidden="false" customHeight="false" outlineLevel="0" collapsed="false">
      <c r="A6" s="51" t="s">
        <v>3474</v>
      </c>
      <c r="B6" s="51" t="n">
        <v>2</v>
      </c>
      <c r="C6" s="52" t="s">
        <v>3475</v>
      </c>
      <c r="D6" s="53" t="s">
        <v>3476</v>
      </c>
      <c r="E6" s="54" t="s">
        <v>3477</v>
      </c>
      <c r="F6" s="54" t="s">
        <v>3034</v>
      </c>
      <c r="G6" s="54" t="s">
        <v>3478</v>
      </c>
      <c r="H6" s="54" t="s">
        <v>3479</v>
      </c>
      <c r="I6" s="53" t="s">
        <v>3480</v>
      </c>
      <c r="J6" s="54" t="s">
        <v>3481</v>
      </c>
      <c r="K6" s="53" t="s">
        <v>3482</v>
      </c>
      <c r="L6" s="55" t="s">
        <v>8</v>
      </c>
      <c r="M6" s="70" t="n">
        <v>6</v>
      </c>
      <c r="N6" s="71" t="s">
        <v>3473</v>
      </c>
      <c r="O6" s="51" t="s">
        <v>95</v>
      </c>
      <c r="P6" s="54"/>
      <c r="Q6" s="54" t="s">
        <v>131</v>
      </c>
      <c r="R6" s="58" t="s">
        <v>132</v>
      </c>
      <c r="S6" s="54" t="s">
        <v>98</v>
      </c>
    </row>
    <row r="7" customFormat="false" ht="35.05" hidden="false" customHeight="false" outlineLevel="0" collapsed="false">
      <c r="A7" s="51" t="s">
        <v>3483</v>
      </c>
      <c r="B7" s="51" t="n">
        <v>3</v>
      </c>
      <c r="C7" s="52" t="s">
        <v>3484</v>
      </c>
      <c r="D7" s="53" t="s">
        <v>3485</v>
      </c>
      <c r="E7" s="54" t="s">
        <v>3486</v>
      </c>
      <c r="F7" s="54" t="s">
        <v>3487</v>
      </c>
      <c r="G7" s="54" t="s">
        <v>3488</v>
      </c>
      <c r="H7" s="54" t="s">
        <v>3489</v>
      </c>
      <c r="I7" s="53" t="s">
        <v>3490</v>
      </c>
      <c r="J7" s="54" t="s">
        <v>3491</v>
      </c>
      <c r="K7" s="53" t="s">
        <v>3492</v>
      </c>
      <c r="L7" s="55" t="s">
        <v>8</v>
      </c>
      <c r="M7" s="70" t="n">
        <v>6</v>
      </c>
      <c r="N7" s="71" t="s">
        <v>3473</v>
      </c>
      <c r="O7" s="51" t="s">
        <v>95</v>
      </c>
      <c r="P7" s="54"/>
      <c r="Q7" s="54" t="s">
        <v>131</v>
      </c>
      <c r="R7" s="58" t="s">
        <v>132</v>
      </c>
      <c r="S7" s="54" t="s">
        <v>98</v>
      </c>
    </row>
    <row r="8" customFormat="false" ht="35.05" hidden="false" customHeight="false" outlineLevel="0" collapsed="false">
      <c r="A8" s="51" t="s">
        <v>3493</v>
      </c>
      <c r="B8" s="51" t="n">
        <v>4</v>
      </c>
      <c r="C8" s="52" t="s">
        <v>3494</v>
      </c>
      <c r="D8" s="53" t="s">
        <v>3495</v>
      </c>
      <c r="E8" s="54" t="s">
        <v>3496</v>
      </c>
      <c r="F8" s="54" t="s">
        <v>3487</v>
      </c>
      <c r="G8" s="54" t="s">
        <v>3497</v>
      </c>
      <c r="H8" s="54" t="s">
        <v>3498</v>
      </c>
      <c r="I8" s="53" t="s">
        <v>3499</v>
      </c>
      <c r="J8" s="54" t="s">
        <v>3500</v>
      </c>
      <c r="K8" s="53" t="s">
        <v>3501</v>
      </c>
      <c r="L8" s="55" t="s">
        <v>8</v>
      </c>
      <c r="M8" s="70" t="n">
        <v>6</v>
      </c>
      <c r="N8" s="71" t="s">
        <v>3473</v>
      </c>
      <c r="O8" s="51" t="s">
        <v>95</v>
      </c>
      <c r="P8" s="54"/>
      <c r="Q8" s="54" t="s">
        <v>131</v>
      </c>
      <c r="R8" s="58" t="s">
        <v>132</v>
      </c>
      <c r="S8" s="54" t="s">
        <v>98</v>
      </c>
    </row>
    <row r="9" customFormat="false" ht="35.05" hidden="false" customHeight="false" outlineLevel="0" collapsed="false">
      <c r="A9" s="51" t="s">
        <v>3502</v>
      </c>
      <c r="B9" s="51" t="n">
        <v>5</v>
      </c>
      <c r="C9" s="52" t="s">
        <v>3503</v>
      </c>
      <c r="D9" s="53" t="s">
        <v>3504</v>
      </c>
      <c r="E9" s="54" t="s">
        <v>3505</v>
      </c>
      <c r="F9" s="54" t="s">
        <v>3034</v>
      </c>
      <c r="G9" s="54" t="s">
        <v>3506</v>
      </c>
      <c r="H9" s="54" t="s">
        <v>3507</v>
      </c>
      <c r="I9" s="53" t="s">
        <v>3508</v>
      </c>
      <c r="J9" s="54" t="s">
        <v>3509</v>
      </c>
      <c r="K9" s="53" t="s">
        <v>3510</v>
      </c>
      <c r="L9" s="55" t="s">
        <v>8</v>
      </c>
      <c r="M9" s="70" t="n">
        <v>6</v>
      </c>
      <c r="N9" s="71" t="s">
        <v>3473</v>
      </c>
      <c r="O9" s="51" t="s">
        <v>95</v>
      </c>
      <c r="P9" s="54"/>
      <c r="Q9" s="54" t="s">
        <v>131</v>
      </c>
      <c r="R9" s="58" t="s">
        <v>132</v>
      </c>
      <c r="S9" s="54" t="s">
        <v>98</v>
      </c>
    </row>
    <row r="10" customFormat="false" ht="35.05" hidden="false" customHeight="false" outlineLevel="0" collapsed="false">
      <c r="A10" s="51" t="s">
        <v>3511</v>
      </c>
      <c r="B10" s="51" t="n">
        <v>6</v>
      </c>
      <c r="C10" s="52" t="s">
        <v>3512</v>
      </c>
      <c r="D10" s="53" t="s">
        <v>3513</v>
      </c>
      <c r="E10" s="54" t="s">
        <v>3514</v>
      </c>
      <c r="F10" s="54" t="s">
        <v>3487</v>
      </c>
      <c r="G10" s="54" t="s">
        <v>3515</v>
      </c>
      <c r="H10" s="54" t="s">
        <v>3516</v>
      </c>
      <c r="I10" s="53" t="s">
        <v>3517</v>
      </c>
      <c r="J10" s="54" t="s">
        <v>3518</v>
      </c>
      <c r="K10" s="53" t="s">
        <v>3519</v>
      </c>
      <c r="L10" s="55" t="s">
        <v>8</v>
      </c>
      <c r="M10" s="70" t="n">
        <v>6</v>
      </c>
      <c r="N10" s="71" t="s">
        <v>3473</v>
      </c>
      <c r="O10" s="59" t="s">
        <v>161</v>
      </c>
      <c r="P10" s="54" t="s">
        <v>3520</v>
      </c>
      <c r="Q10" s="54" t="s">
        <v>131</v>
      </c>
      <c r="R10" s="58" t="s">
        <v>132</v>
      </c>
      <c r="S10" s="54" t="s">
        <v>98</v>
      </c>
    </row>
    <row r="11" customFormat="false" ht="35.05" hidden="false" customHeight="false" outlineLevel="0" collapsed="false">
      <c r="A11" s="51" t="s">
        <v>3521</v>
      </c>
      <c r="B11" s="51" t="n">
        <v>7</v>
      </c>
      <c r="C11" s="52" t="s">
        <v>3522</v>
      </c>
      <c r="D11" s="53" t="s">
        <v>3523</v>
      </c>
      <c r="E11" s="54" t="s">
        <v>3524</v>
      </c>
      <c r="F11" s="54" t="s">
        <v>3487</v>
      </c>
      <c r="G11" s="54" t="s">
        <v>3525</v>
      </c>
      <c r="H11" s="54" t="s">
        <v>3526</v>
      </c>
      <c r="I11" s="53" t="s">
        <v>3527</v>
      </c>
      <c r="J11" s="54" t="s">
        <v>3528</v>
      </c>
      <c r="K11" s="53" t="s">
        <v>3529</v>
      </c>
      <c r="L11" s="55" t="s">
        <v>8</v>
      </c>
      <c r="M11" s="70" t="n">
        <v>6</v>
      </c>
      <c r="N11" s="71" t="s">
        <v>3473</v>
      </c>
      <c r="O11" s="51" t="s">
        <v>95</v>
      </c>
      <c r="P11" s="54"/>
      <c r="Q11" s="54" t="s">
        <v>131</v>
      </c>
      <c r="R11" s="58" t="s">
        <v>132</v>
      </c>
      <c r="S11" s="54" t="s">
        <v>98</v>
      </c>
    </row>
    <row r="12" customFormat="false" ht="35.05" hidden="false" customHeight="false" outlineLevel="0" collapsed="false">
      <c r="A12" s="51" t="s">
        <v>3530</v>
      </c>
      <c r="B12" s="51" t="n">
        <v>8</v>
      </c>
      <c r="C12" s="52" t="s">
        <v>3531</v>
      </c>
      <c r="D12" s="53" t="s">
        <v>3532</v>
      </c>
      <c r="E12" s="54" t="s">
        <v>3533</v>
      </c>
      <c r="F12" s="54" t="s">
        <v>3034</v>
      </c>
      <c r="G12" s="54" t="s">
        <v>3534</v>
      </c>
      <c r="H12" s="54" t="s">
        <v>3535</v>
      </c>
      <c r="I12" s="53" t="s">
        <v>3536</v>
      </c>
      <c r="J12" s="54" t="s">
        <v>3537</v>
      </c>
      <c r="K12" s="53" t="s">
        <v>3538</v>
      </c>
      <c r="L12" s="55" t="s">
        <v>8</v>
      </c>
      <c r="M12" s="70" t="n">
        <v>6</v>
      </c>
      <c r="N12" s="71" t="s">
        <v>3473</v>
      </c>
      <c r="O12" s="59" t="s">
        <v>161</v>
      </c>
      <c r="P12" s="54" t="s">
        <v>2119</v>
      </c>
      <c r="Q12" s="54" t="s">
        <v>131</v>
      </c>
      <c r="R12" s="58" t="s">
        <v>132</v>
      </c>
      <c r="S12" s="54" t="s">
        <v>98</v>
      </c>
    </row>
    <row r="13" customFormat="false" ht="35.05" hidden="false" customHeight="false" outlineLevel="0" collapsed="false">
      <c r="A13" s="51" t="s">
        <v>3539</v>
      </c>
      <c r="B13" s="51" t="n">
        <v>9</v>
      </c>
      <c r="C13" s="52" t="s">
        <v>3540</v>
      </c>
      <c r="D13" s="53" t="s">
        <v>3541</v>
      </c>
      <c r="E13" s="54" t="s">
        <v>3542</v>
      </c>
      <c r="F13" s="54" t="s">
        <v>103</v>
      </c>
      <c r="G13" s="54" t="s">
        <v>3543</v>
      </c>
      <c r="H13" s="54" t="s">
        <v>3544</v>
      </c>
      <c r="I13" s="53" t="s">
        <v>3545</v>
      </c>
      <c r="J13" s="54" t="s">
        <v>3546</v>
      </c>
      <c r="K13" s="53" t="s">
        <v>3547</v>
      </c>
      <c r="L13" s="55" t="s">
        <v>8</v>
      </c>
      <c r="M13" s="70" t="n">
        <v>6</v>
      </c>
      <c r="N13" s="71" t="s">
        <v>3473</v>
      </c>
      <c r="O13" s="51" t="s">
        <v>95</v>
      </c>
      <c r="P13" s="54"/>
      <c r="Q13" s="54" t="s">
        <v>131</v>
      </c>
      <c r="R13" s="58" t="s">
        <v>132</v>
      </c>
      <c r="S13" s="54" t="s">
        <v>98</v>
      </c>
    </row>
    <row r="14" customFormat="false" ht="35.05" hidden="false" customHeight="false" outlineLevel="0" collapsed="false">
      <c r="A14" s="51" t="s">
        <v>3548</v>
      </c>
      <c r="B14" s="51" t="n">
        <v>10</v>
      </c>
      <c r="C14" s="52" t="s">
        <v>3549</v>
      </c>
      <c r="D14" s="53" t="s">
        <v>3550</v>
      </c>
      <c r="E14" s="54" t="s">
        <v>3551</v>
      </c>
      <c r="F14" s="54" t="s">
        <v>3034</v>
      </c>
      <c r="G14" s="54" t="s">
        <v>3552</v>
      </c>
      <c r="H14" s="54" t="s">
        <v>3553</v>
      </c>
      <c r="I14" s="53" t="s">
        <v>3554</v>
      </c>
      <c r="J14" s="54" t="s">
        <v>3555</v>
      </c>
      <c r="K14" s="53" t="s">
        <v>3556</v>
      </c>
      <c r="L14" s="55" t="s">
        <v>8</v>
      </c>
      <c r="M14" s="70" t="n">
        <v>6</v>
      </c>
      <c r="N14" s="71" t="s">
        <v>3473</v>
      </c>
      <c r="O14" s="51" t="s">
        <v>95</v>
      </c>
      <c r="P14" s="54"/>
      <c r="Q14" s="54" t="s">
        <v>131</v>
      </c>
      <c r="R14" s="58" t="s">
        <v>132</v>
      </c>
      <c r="S14" s="54" t="s">
        <v>98</v>
      </c>
    </row>
    <row r="15" customFormat="false" ht="35.05" hidden="false" customHeight="false" outlineLevel="0" collapsed="false">
      <c r="A15" s="51" t="s">
        <v>3557</v>
      </c>
      <c r="B15" s="51" t="n">
        <v>11</v>
      </c>
      <c r="C15" s="52" t="s">
        <v>3558</v>
      </c>
      <c r="D15" s="53" t="s">
        <v>3559</v>
      </c>
      <c r="E15" s="54" t="s">
        <v>3560</v>
      </c>
      <c r="F15" s="54" t="s">
        <v>614</v>
      </c>
      <c r="G15" s="54" t="s">
        <v>3561</v>
      </c>
      <c r="H15" s="54" t="s">
        <v>3562</v>
      </c>
      <c r="I15" s="53" t="s">
        <v>3563</v>
      </c>
      <c r="J15" s="54" t="s">
        <v>3564</v>
      </c>
      <c r="K15" s="53" t="s">
        <v>3565</v>
      </c>
      <c r="L15" s="55" t="s">
        <v>8</v>
      </c>
      <c r="M15" s="70" t="n">
        <v>6</v>
      </c>
      <c r="N15" s="71" t="s">
        <v>3473</v>
      </c>
      <c r="O15" s="59" t="s">
        <v>161</v>
      </c>
      <c r="P15" s="54" t="s">
        <v>620</v>
      </c>
      <c r="Q15" s="54" t="s">
        <v>131</v>
      </c>
      <c r="R15" s="58" t="s">
        <v>132</v>
      </c>
      <c r="S15" s="54" t="s">
        <v>98</v>
      </c>
    </row>
    <row r="16" customFormat="false" ht="35.05" hidden="false" customHeight="false" outlineLevel="0" collapsed="false">
      <c r="A16" s="51" t="s">
        <v>3566</v>
      </c>
      <c r="B16" s="51" t="n">
        <v>12</v>
      </c>
      <c r="C16" s="52" t="s">
        <v>3567</v>
      </c>
      <c r="D16" s="53" t="s">
        <v>3568</v>
      </c>
      <c r="E16" s="54" t="s">
        <v>3569</v>
      </c>
      <c r="F16" s="54" t="s">
        <v>3487</v>
      </c>
      <c r="G16" s="54" t="s">
        <v>3570</v>
      </c>
      <c r="H16" s="54" t="s">
        <v>3571</v>
      </c>
      <c r="I16" s="53" t="s">
        <v>3572</v>
      </c>
      <c r="J16" s="54" t="s">
        <v>3573</v>
      </c>
      <c r="K16" s="53" t="s">
        <v>3574</v>
      </c>
      <c r="L16" s="55" t="s">
        <v>8</v>
      </c>
      <c r="M16" s="70" t="n">
        <v>6</v>
      </c>
      <c r="N16" s="71" t="s">
        <v>3473</v>
      </c>
      <c r="O16" s="59" t="s">
        <v>161</v>
      </c>
      <c r="P16" s="54" t="s">
        <v>3575</v>
      </c>
      <c r="Q16" s="54" t="s">
        <v>131</v>
      </c>
      <c r="R16" s="58" t="s">
        <v>132</v>
      </c>
      <c r="S16" s="54" t="s">
        <v>98</v>
      </c>
    </row>
    <row r="17" customFormat="false" ht="35.05" hidden="false" customHeight="false" outlineLevel="0" collapsed="false">
      <c r="A17" s="51" t="s">
        <v>3576</v>
      </c>
      <c r="B17" s="51" t="n">
        <v>13</v>
      </c>
      <c r="C17" s="52" t="s">
        <v>3577</v>
      </c>
      <c r="D17" s="53" t="s">
        <v>3578</v>
      </c>
      <c r="E17" s="54" t="s">
        <v>3579</v>
      </c>
      <c r="F17" s="54" t="s">
        <v>3487</v>
      </c>
      <c r="G17" s="54" t="s">
        <v>3580</v>
      </c>
      <c r="H17" s="54" t="s">
        <v>3581</v>
      </c>
      <c r="I17" s="53" t="s">
        <v>3582</v>
      </c>
      <c r="J17" s="54" t="s">
        <v>3583</v>
      </c>
      <c r="K17" s="53" t="s">
        <v>3584</v>
      </c>
      <c r="L17" s="55" t="s">
        <v>8</v>
      </c>
      <c r="M17" s="70" t="n">
        <v>6</v>
      </c>
      <c r="N17" s="71" t="s">
        <v>3473</v>
      </c>
      <c r="O17" s="59" t="s">
        <v>161</v>
      </c>
      <c r="P17" s="54" t="s">
        <v>3585</v>
      </c>
      <c r="Q17" s="54" t="s">
        <v>131</v>
      </c>
      <c r="R17" s="58" t="s">
        <v>132</v>
      </c>
      <c r="S17" s="54" t="s">
        <v>98</v>
      </c>
    </row>
    <row r="18" customFormat="false" ht="46.25" hidden="false" customHeight="false" outlineLevel="0" collapsed="false">
      <c r="A18" s="51" t="s">
        <v>3586</v>
      </c>
      <c r="B18" s="51" t="n">
        <v>14</v>
      </c>
      <c r="C18" s="52" t="s">
        <v>3587</v>
      </c>
      <c r="D18" s="53" t="s">
        <v>3588</v>
      </c>
      <c r="E18" s="54" t="s">
        <v>3589</v>
      </c>
      <c r="F18" s="54" t="s">
        <v>176</v>
      </c>
      <c r="G18" s="54" t="s">
        <v>3590</v>
      </c>
      <c r="H18" s="54" t="s">
        <v>3591</v>
      </c>
      <c r="I18" s="53" t="s">
        <v>3592</v>
      </c>
      <c r="J18" s="54" t="s">
        <v>3593</v>
      </c>
      <c r="K18" s="53" t="s">
        <v>3594</v>
      </c>
      <c r="L18" s="55" t="s">
        <v>8</v>
      </c>
      <c r="M18" s="70" t="n">
        <v>6</v>
      </c>
      <c r="N18" s="71" t="s">
        <v>3473</v>
      </c>
      <c r="O18" s="51" t="s">
        <v>95</v>
      </c>
      <c r="P18" s="54"/>
      <c r="Q18" s="54" t="s">
        <v>109</v>
      </c>
      <c r="R18" s="58" t="s">
        <v>110</v>
      </c>
      <c r="S18" s="54" t="s">
        <v>98</v>
      </c>
    </row>
    <row r="19" customFormat="false" ht="35.05" hidden="false" customHeight="false" outlineLevel="0" collapsed="false">
      <c r="A19" s="51" t="s">
        <v>3595</v>
      </c>
      <c r="B19" s="51" t="n">
        <v>15</v>
      </c>
      <c r="C19" s="52" t="s">
        <v>3596</v>
      </c>
      <c r="D19" s="53" t="s">
        <v>3597</v>
      </c>
      <c r="E19" s="54" t="s">
        <v>3598</v>
      </c>
      <c r="F19" s="54" t="s">
        <v>3034</v>
      </c>
      <c r="G19" s="54" t="s">
        <v>3599</v>
      </c>
      <c r="H19" s="54" t="s">
        <v>3600</v>
      </c>
      <c r="I19" s="53" t="s">
        <v>3601</v>
      </c>
      <c r="J19" s="54" t="s">
        <v>3602</v>
      </c>
      <c r="K19" s="53" t="s">
        <v>3603</v>
      </c>
      <c r="L19" s="55" t="s">
        <v>8</v>
      </c>
      <c r="M19" s="70" t="n">
        <v>6</v>
      </c>
      <c r="N19" s="71" t="s">
        <v>3473</v>
      </c>
      <c r="O19" s="51" t="s">
        <v>95</v>
      </c>
      <c r="P19" s="54"/>
      <c r="Q19" s="54" t="s">
        <v>131</v>
      </c>
      <c r="R19" s="58" t="s">
        <v>132</v>
      </c>
      <c r="S19" s="54" t="s">
        <v>98</v>
      </c>
    </row>
    <row r="20" customFormat="false" ht="35.05" hidden="false" customHeight="false" outlineLevel="0" collapsed="false">
      <c r="A20" s="51" t="s">
        <v>3604</v>
      </c>
      <c r="B20" s="51" t="n">
        <v>16</v>
      </c>
      <c r="C20" s="52" t="s">
        <v>3605</v>
      </c>
      <c r="D20" s="53" t="s">
        <v>3606</v>
      </c>
      <c r="E20" s="54" t="s">
        <v>3607</v>
      </c>
      <c r="F20" s="54" t="s">
        <v>103</v>
      </c>
      <c r="G20" s="54" t="s">
        <v>3608</v>
      </c>
      <c r="H20" s="54" t="s">
        <v>3609</v>
      </c>
      <c r="I20" s="53" t="s">
        <v>3610</v>
      </c>
      <c r="J20" s="54" t="s">
        <v>3611</v>
      </c>
      <c r="K20" s="53" t="s">
        <v>3612</v>
      </c>
      <c r="L20" s="55" t="s">
        <v>8</v>
      </c>
      <c r="M20" s="70" t="n">
        <v>6</v>
      </c>
      <c r="N20" s="71" t="s">
        <v>3473</v>
      </c>
      <c r="O20" s="51" t="s">
        <v>95</v>
      </c>
      <c r="P20" s="54"/>
      <c r="Q20" s="54" t="s">
        <v>131</v>
      </c>
      <c r="R20" s="58" t="s">
        <v>132</v>
      </c>
      <c r="S20" s="54" t="s">
        <v>98</v>
      </c>
    </row>
    <row r="21" customFormat="false" ht="35.05" hidden="false" customHeight="false" outlineLevel="0" collapsed="false">
      <c r="A21" s="51" t="s">
        <v>3613</v>
      </c>
      <c r="B21" s="51" t="n">
        <v>17</v>
      </c>
      <c r="C21" s="52" t="s">
        <v>3614</v>
      </c>
      <c r="D21" s="53" t="s">
        <v>3615</v>
      </c>
      <c r="E21" s="54" t="s">
        <v>3616</v>
      </c>
      <c r="F21" s="54" t="s">
        <v>3034</v>
      </c>
      <c r="G21" s="54" t="s">
        <v>3617</v>
      </c>
      <c r="H21" s="54" t="s">
        <v>3618</v>
      </c>
      <c r="I21" s="53" t="s">
        <v>3619</v>
      </c>
      <c r="J21" s="54" t="s">
        <v>3620</v>
      </c>
      <c r="K21" s="53" t="s">
        <v>3621</v>
      </c>
      <c r="L21" s="55" t="s">
        <v>8</v>
      </c>
      <c r="M21" s="70" t="n">
        <v>6</v>
      </c>
      <c r="N21" s="71" t="s">
        <v>3473</v>
      </c>
      <c r="O21" s="51" t="s">
        <v>95</v>
      </c>
      <c r="P21" s="54"/>
      <c r="Q21" s="54" t="s">
        <v>131</v>
      </c>
      <c r="R21" s="58" t="s">
        <v>132</v>
      </c>
      <c r="S21" s="54" t="s">
        <v>98</v>
      </c>
    </row>
    <row r="22" customFormat="false" ht="35.05" hidden="false" customHeight="false" outlineLevel="0" collapsed="false">
      <c r="A22" s="51" t="s">
        <v>3622</v>
      </c>
      <c r="B22" s="51" t="n">
        <v>18</v>
      </c>
      <c r="C22" s="52" t="s">
        <v>3623</v>
      </c>
      <c r="D22" s="53" t="s">
        <v>3624</v>
      </c>
      <c r="E22" s="54" t="s">
        <v>3625</v>
      </c>
      <c r="F22" s="54" t="s">
        <v>3034</v>
      </c>
      <c r="G22" s="54" t="s">
        <v>3626</v>
      </c>
      <c r="H22" s="54" t="s">
        <v>3627</v>
      </c>
      <c r="I22" s="53" t="s">
        <v>3628</v>
      </c>
      <c r="J22" s="54" t="s">
        <v>3629</v>
      </c>
      <c r="K22" s="53" t="s">
        <v>3630</v>
      </c>
      <c r="L22" s="55" t="s">
        <v>8</v>
      </c>
      <c r="M22" s="70" t="n">
        <v>6</v>
      </c>
      <c r="N22" s="71" t="s">
        <v>3473</v>
      </c>
      <c r="O22" s="59" t="s">
        <v>161</v>
      </c>
      <c r="P22" s="54" t="s">
        <v>3585</v>
      </c>
      <c r="Q22" s="54" t="s">
        <v>131</v>
      </c>
      <c r="R22" s="58" t="s">
        <v>132</v>
      </c>
      <c r="S22" s="54" t="s">
        <v>98</v>
      </c>
    </row>
    <row r="23" customFormat="false" ht="35.05" hidden="false" customHeight="false" outlineLevel="0" collapsed="false">
      <c r="A23" s="51" t="s">
        <v>3631</v>
      </c>
      <c r="B23" s="51" t="n">
        <v>19</v>
      </c>
      <c r="C23" s="52" t="s">
        <v>3632</v>
      </c>
      <c r="D23" s="53" t="s">
        <v>3633</v>
      </c>
      <c r="E23" s="54" t="s">
        <v>3634</v>
      </c>
      <c r="F23" s="54" t="s">
        <v>3487</v>
      </c>
      <c r="G23" s="54" t="s">
        <v>3635</v>
      </c>
      <c r="H23" s="54" t="s">
        <v>3636</v>
      </c>
      <c r="I23" s="53" t="s">
        <v>3637</v>
      </c>
      <c r="J23" s="54" t="s">
        <v>3638</v>
      </c>
      <c r="K23" s="53" t="s">
        <v>3639</v>
      </c>
      <c r="L23" s="60" t="s">
        <v>9</v>
      </c>
      <c r="M23" s="70" t="n">
        <v>6</v>
      </c>
      <c r="N23" s="71" t="s">
        <v>3473</v>
      </c>
      <c r="O23" s="51" t="s">
        <v>95</v>
      </c>
      <c r="P23" s="54"/>
      <c r="Q23" s="54" t="s">
        <v>131</v>
      </c>
      <c r="R23" s="58" t="s">
        <v>132</v>
      </c>
      <c r="S23" s="54" t="s">
        <v>98</v>
      </c>
    </row>
    <row r="24" customFormat="false" ht="35.05" hidden="false" customHeight="false" outlineLevel="0" collapsed="false">
      <c r="A24" s="51" t="s">
        <v>3640</v>
      </c>
      <c r="B24" s="51" t="n">
        <v>20</v>
      </c>
      <c r="C24" s="52" t="s">
        <v>3641</v>
      </c>
      <c r="D24" s="53" t="s">
        <v>3642</v>
      </c>
      <c r="E24" s="54" t="s">
        <v>3643</v>
      </c>
      <c r="F24" s="54" t="s">
        <v>548</v>
      </c>
      <c r="G24" s="54" t="s">
        <v>3644</v>
      </c>
      <c r="H24" s="54" t="s">
        <v>3645</v>
      </c>
      <c r="I24" s="53" t="s">
        <v>3646</v>
      </c>
      <c r="J24" s="54" t="s">
        <v>3647</v>
      </c>
      <c r="K24" s="53" t="s">
        <v>3648</v>
      </c>
      <c r="L24" s="60" t="s">
        <v>9</v>
      </c>
      <c r="M24" s="70" t="n">
        <v>6</v>
      </c>
      <c r="N24" s="71" t="s">
        <v>3473</v>
      </c>
      <c r="O24" s="51" t="s">
        <v>95</v>
      </c>
      <c r="P24" s="54"/>
      <c r="Q24" s="54" t="s">
        <v>131</v>
      </c>
      <c r="R24" s="58" t="s">
        <v>132</v>
      </c>
      <c r="S24" s="54" t="s">
        <v>98</v>
      </c>
    </row>
    <row r="25" customFormat="false" ht="35.05" hidden="false" customHeight="false" outlineLevel="0" collapsed="false">
      <c r="A25" s="51" t="s">
        <v>3649</v>
      </c>
      <c r="B25" s="51" t="n">
        <v>21</v>
      </c>
      <c r="C25" s="52" t="s">
        <v>3650</v>
      </c>
      <c r="D25" s="53" t="s">
        <v>3651</v>
      </c>
      <c r="E25" s="54" t="s">
        <v>3652</v>
      </c>
      <c r="F25" s="54" t="s">
        <v>3487</v>
      </c>
      <c r="G25" s="54" t="s">
        <v>3653</v>
      </c>
      <c r="H25" s="54" t="s">
        <v>3654</v>
      </c>
      <c r="I25" s="53" t="s">
        <v>3655</v>
      </c>
      <c r="J25" s="54" t="s">
        <v>3656</v>
      </c>
      <c r="K25" s="53" t="s">
        <v>3657</v>
      </c>
      <c r="L25" s="60" t="s">
        <v>9</v>
      </c>
      <c r="M25" s="70" t="n">
        <v>6</v>
      </c>
      <c r="N25" s="71" t="s">
        <v>3473</v>
      </c>
      <c r="O25" s="59" t="s">
        <v>161</v>
      </c>
      <c r="P25" s="54" t="s">
        <v>3658</v>
      </c>
      <c r="Q25" s="54" t="s">
        <v>131</v>
      </c>
      <c r="R25" s="58" t="s">
        <v>132</v>
      </c>
      <c r="S25" s="54" t="s">
        <v>98</v>
      </c>
    </row>
    <row r="26" customFormat="false" ht="35.05" hidden="false" customHeight="false" outlineLevel="0" collapsed="false">
      <c r="A26" s="51" t="s">
        <v>3659</v>
      </c>
      <c r="B26" s="51" t="n">
        <v>22</v>
      </c>
      <c r="C26" s="52" t="s">
        <v>3660</v>
      </c>
      <c r="D26" s="53" t="s">
        <v>3661</v>
      </c>
      <c r="E26" s="54" t="s">
        <v>3662</v>
      </c>
      <c r="F26" s="54" t="s">
        <v>3487</v>
      </c>
      <c r="G26" s="54" t="s">
        <v>3663</v>
      </c>
      <c r="H26" s="54" t="s">
        <v>3664</v>
      </c>
      <c r="I26" s="53" t="s">
        <v>3665</v>
      </c>
      <c r="J26" s="54" t="s">
        <v>3666</v>
      </c>
      <c r="K26" s="53" t="s">
        <v>3667</v>
      </c>
      <c r="L26" s="60" t="s">
        <v>9</v>
      </c>
      <c r="M26" s="70" t="n">
        <v>6</v>
      </c>
      <c r="N26" s="71" t="s">
        <v>3473</v>
      </c>
      <c r="O26" s="59" t="s">
        <v>161</v>
      </c>
      <c r="P26" s="54" t="s">
        <v>3658</v>
      </c>
      <c r="Q26" s="54" t="s">
        <v>131</v>
      </c>
      <c r="R26" s="58" t="s">
        <v>132</v>
      </c>
      <c r="S26" s="54" t="s">
        <v>98</v>
      </c>
    </row>
    <row r="27" customFormat="false" ht="35.05" hidden="false" customHeight="false" outlineLevel="0" collapsed="false">
      <c r="A27" s="51" t="s">
        <v>3668</v>
      </c>
      <c r="B27" s="51" t="n">
        <v>23</v>
      </c>
      <c r="C27" s="52" t="s">
        <v>3669</v>
      </c>
      <c r="D27" s="53" t="s">
        <v>3670</v>
      </c>
      <c r="E27" s="54" t="s">
        <v>3671</v>
      </c>
      <c r="F27" s="54" t="s">
        <v>3487</v>
      </c>
      <c r="G27" s="54" t="s">
        <v>3672</v>
      </c>
      <c r="H27" s="54" t="s">
        <v>3673</v>
      </c>
      <c r="I27" s="53" t="s">
        <v>3674</v>
      </c>
      <c r="J27" s="54" t="s">
        <v>3675</v>
      </c>
      <c r="K27" s="53" t="s">
        <v>3676</v>
      </c>
      <c r="L27" s="60" t="s">
        <v>9</v>
      </c>
      <c r="M27" s="70" t="n">
        <v>6</v>
      </c>
      <c r="N27" s="71" t="s">
        <v>3473</v>
      </c>
      <c r="O27" s="51" t="s">
        <v>95</v>
      </c>
      <c r="P27" s="54"/>
      <c r="Q27" s="54" t="s">
        <v>131</v>
      </c>
      <c r="R27" s="58" t="s">
        <v>132</v>
      </c>
      <c r="S27" s="54" t="s">
        <v>98</v>
      </c>
    </row>
    <row r="28" customFormat="false" ht="35.05" hidden="false" customHeight="false" outlineLevel="0" collapsed="false">
      <c r="A28" s="51" t="s">
        <v>3677</v>
      </c>
      <c r="B28" s="51" t="n">
        <v>24</v>
      </c>
      <c r="C28" s="52" t="s">
        <v>3678</v>
      </c>
      <c r="D28" s="53" t="s">
        <v>3679</v>
      </c>
      <c r="E28" s="54" t="s">
        <v>3680</v>
      </c>
      <c r="F28" s="54" t="s">
        <v>3034</v>
      </c>
      <c r="G28" s="54" t="s">
        <v>3681</v>
      </c>
      <c r="H28" s="54" t="s">
        <v>3682</v>
      </c>
      <c r="I28" s="53" t="s">
        <v>3683</v>
      </c>
      <c r="J28" s="54" t="s">
        <v>3684</v>
      </c>
      <c r="K28" s="53" t="s">
        <v>3685</v>
      </c>
      <c r="L28" s="60" t="s">
        <v>9</v>
      </c>
      <c r="M28" s="70" t="n">
        <v>6</v>
      </c>
      <c r="N28" s="71" t="s">
        <v>3473</v>
      </c>
      <c r="O28" s="51" t="s">
        <v>95</v>
      </c>
      <c r="P28" s="54"/>
      <c r="Q28" s="54" t="s">
        <v>131</v>
      </c>
      <c r="R28" s="58" t="s">
        <v>132</v>
      </c>
      <c r="S28" s="54" t="s">
        <v>98</v>
      </c>
    </row>
    <row r="29" customFormat="false" ht="35.05" hidden="false" customHeight="false" outlineLevel="0" collapsed="false">
      <c r="A29" s="51" t="s">
        <v>3686</v>
      </c>
      <c r="B29" s="51" t="n">
        <v>25</v>
      </c>
      <c r="C29" s="52" t="s">
        <v>3687</v>
      </c>
      <c r="D29" s="53" t="s">
        <v>3688</v>
      </c>
      <c r="E29" s="54" t="s">
        <v>3689</v>
      </c>
      <c r="F29" s="54" t="s">
        <v>1120</v>
      </c>
      <c r="G29" s="54" t="s">
        <v>3690</v>
      </c>
      <c r="H29" s="54" t="s">
        <v>3691</v>
      </c>
      <c r="I29" s="53" t="s">
        <v>3692</v>
      </c>
      <c r="J29" s="54" t="s">
        <v>3693</v>
      </c>
      <c r="K29" s="53" t="s">
        <v>3694</v>
      </c>
      <c r="L29" s="60" t="s">
        <v>9</v>
      </c>
      <c r="M29" s="70" t="n">
        <v>6</v>
      </c>
      <c r="N29" s="71" t="s">
        <v>3473</v>
      </c>
      <c r="O29" s="59" t="s">
        <v>161</v>
      </c>
      <c r="P29" s="54" t="s">
        <v>3695</v>
      </c>
      <c r="Q29" s="54" t="s">
        <v>516</v>
      </c>
      <c r="R29" s="58" t="s">
        <v>517</v>
      </c>
      <c r="S29" s="54" t="s">
        <v>98</v>
      </c>
    </row>
    <row r="30" customFormat="false" ht="35.05" hidden="false" customHeight="false" outlineLevel="0" collapsed="false">
      <c r="A30" s="51" t="s">
        <v>3696</v>
      </c>
      <c r="B30" s="51" t="n">
        <v>26</v>
      </c>
      <c r="C30" s="52" t="s">
        <v>3697</v>
      </c>
      <c r="D30" s="53" t="s">
        <v>3698</v>
      </c>
      <c r="E30" s="54" t="s">
        <v>3699</v>
      </c>
      <c r="F30" s="54" t="s">
        <v>3487</v>
      </c>
      <c r="G30" s="54" t="s">
        <v>3700</v>
      </c>
      <c r="H30" s="54" t="s">
        <v>3701</v>
      </c>
      <c r="I30" s="53" t="s">
        <v>3702</v>
      </c>
      <c r="J30" s="54" t="s">
        <v>3703</v>
      </c>
      <c r="K30" s="53" t="s">
        <v>3704</v>
      </c>
      <c r="L30" s="60" t="s">
        <v>9</v>
      </c>
      <c r="M30" s="70" t="n">
        <v>6</v>
      </c>
      <c r="N30" s="71" t="s">
        <v>3473</v>
      </c>
      <c r="O30" s="59" t="s">
        <v>161</v>
      </c>
      <c r="P30" s="54" t="s">
        <v>3575</v>
      </c>
      <c r="Q30" s="54" t="s">
        <v>131</v>
      </c>
      <c r="R30" s="58" t="s">
        <v>132</v>
      </c>
      <c r="S30" s="54" t="s">
        <v>98</v>
      </c>
    </row>
    <row r="31" customFormat="false" ht="35.05" hidden="false" customHeight="false" outlineLevel="0" collapsed="false">
      <c r="A31" s="51" t="s">
        <v>3705</v>
      </c>
      <c r="B31" s="51" t="n">
        <v>27</v>
      </c>
      <c r="C31" s="52" t="s">
        <v>3706</v>
      </c>
      <c r="D31" s="53" t="s">
        <v>3707</v>
      </c>
      <c r="E31" s="54" t="s">
        <v>3708</v>
      </c>
      <c r="F31" s="54" t="s">
        <v>614</v>
      </c>
      <c r="G31" s="54" t="s">
        <v>3709</v>
      </c>
      <c r="H31" s="54" t="s">
        <v>3710</v>
      </c>
      <c r="I31" s="53" t="s">
        <v>3711</v>
      </c>
      <c r="J31" s="54" t="s">
        <v>3712</v>
      </c>
      <c r="K31" s="53" t="s">
        <v>3713</v>
      </c>
      <c r="L31" s="60" t="s">
        <v>9</v>
      </c>
      <c r="M31" s="70" t="n">
        <v>6</v>
      </c>
      <c r="N31" s="71" t="s">
        <v>3473</v>
      </c>
      <c r="O31" s="51" t="s">
        <v>95</v>
      </c>
      <c r="P31" s="54"/>
      <c r="Q31" s="54" t="s">
        <v>516</v>
      </c>
      <c r="R31" s="58" t="s">
        <v>517</v>
      </c>
      <c r="S31" s="54" t="s">
        <v>98</v>
      </c>
    </row>
    <row r="32" customFormat="false" ht="35.05" hidden="false" customHeight="false" outlineLevel="0" collapsed="false">
      <c r="A32" s="51" t="s">
        <v>3714</v>
      </c>
      <c r="B32" s="51" t="n">
        <v>28</v>
      </c>
      <c r="C32" s="52" t="s">
        <v>3715</v>
      </c>
      <c r="D32" s="53" t="s">
        <v>3716</v>
      </c>
      <c r="E32" s="54" t="s">
        <v>3717</v>
      </c>
      <c r="F32" s="54" t="s">
        <v>3487</v>
      </c>
      <c r="G32" s="54" t="s">
        <v>3718</v>
      </c>
      <c r="H32" s="54" t="s">
        <v>3719</v>
      </c>
      <c r="I32" s="53" t="s">
        <v>3720</v>
      </c>
      <c r="J32" s="54" t="s">
        <v>3721</v>
      </c>
      <c r="K32" s="53" t="s">
        <v>3722</v>
      </c>
      <c r="L32" s="60" t="s">
        <v>9</v>
      </c>
      <c r="M32" s="70" t="n">
        <v>6</v>
      </c>
      <c r="N32" s="71" t="s">
        <v>3473</v>
      </c>
      <c r="O32" s="51" t="s">
        <v>95</v>
      </c>
      <c r="P32" s="54"/>
      <c r="Q32" s="54" t="s">
        <v>131</v>
      </c>
      <c r="R32" s="58" t="s">
        <v>132</v>
      </c>
      <c r="S32" s="54" t="s">
        <v>98</v>
      </c>
    </row>
    <row r="33" customFormat="false" ht="35.05" hidden="false" customHeight="false" outlineLevel="0" collapsed="false">
      <c r="A33" s="51" t="s">
        <v>3723</v>
      </c>
      <c r="B33" s="51" t="n">
        <v>29</v>
      </c>
      <c r="C33" s="52" t="s">
        <v>3724</v>
      </c>
      <c r="D33" s="53" t="s">
        <v>3725</v>
      </c>
      <c r="E33" s="54" t="s">
        <v>3726</v>
      </c>
      <c r="F33" s="54" t="s">
        <v>103</v>
      </c>
      <c r="G33" s="54" t="s">
        <v>3727</v>
      </c>
      <c r="H33" s="54" t="s">
        <v>3728</v>
      </c>
      <c r="I33" s="53" t="s">
        <v>3729</v>
      </c>
      <c r="J33" s="54" t="s">
        <v>3730</v>
      </c>
      <c r="K33" s="53" t="s">
        <v>3731</v>
      </c>
      <c r="L33" s="60" t="s">
        <v>9</v>
      </c>
      <c r="M33" s="70" t="n">
        <v>6</v>
      </c>
      <c r="N33" s="71" t="s">
        <v>3473</v>
      </c>
      <c r="O33" s="51" t="s">
        <v>95</v>
      </c>
      <c r="P33" s="54"/>
      <c r="Q33" s="54" t="s">
        <v>131</v>
      </c>
      <c r="R33" s="58" t="s">
        <v>132</v>
      </c>
      <c r="S33" s="54" t="s">
        <v>98</v>
      </c>
    </row>
    <row r="34" customFormat="false" ht="35.05" hidden="false" customHeight="false" outlineLevel="0" collapsed="false">
      <c r="A34" s="51" t="s">
        <v>3732</v>
      </c>
      <c r="B34" s="51" t="n">
        <v>30</v>
      </c>
      <c r="C34" s="52" t="s">
        <v>3733</v>
      </c>
      <c r="D34" s="53" t="s">
        <v>3734</v>
      </c>
      <c r="E34" s="54" t="s">
        <v>3735</v>
      </c>
      <c r="F34" s="54" t="s">
        <v>103</v>
      </c>
      <c r="G34" s="54" t="s">
        <v>3736</v>
      </c>
      <c r="H34" s="54" t="s">
        <v>3737</v>
      </c>
      <c r="I34" s="53" t="s">
        <v>3738</v>
      </c>
      <c r="J34" s="54" t="s">
        <v>3739</v>
      </c>
      <c r="K34" s="53" t="s">
        <v>3740</v>
      </c>
      <c r="L34" s="60" t="s">
        <v>9</v>
      </c>
      <c r="M34" s="70" t="n">
        <v>6</v>
      </c>
      <c r="N34" s="71" t="s">
        <v>3473</v>
      </c>
      <c r="O34" s="51" t="s">
        <v>95</v>
      </c>
      <c r="P34" s="54"/>
      <c r="Q34" s="54" t="s">
        <v>131</v>
      </c>
      <c r="R34" s="58" t="s">
        <v>132</v>
      </c>
      <c r="S34" s="54" t="s">
        <v>98</v>
      </c>
    </row>
    <row r="35" customFormat="false" ht="35.05" hidden="false" customHeight="false" outlineLevel="0" collapsed="false">
      <c r="A35" s="51" t="s">
        <v>3741</v>
      </c>
      <c r="B35" s="51" t="n">
        <v>31</v>
      </c>
      <c r="C35" s="52" t="s">
        <v>3742</v>
      </c>
      <c r="D35" s="53" t="s">
        <v>3743</v>
      </c>
      <c r="E35" s="54" t="s">
        <v>3744</v>
      </c>
      <c r="F35" s="54" t="s">
        <v>614</v>
      </c>
      <c r="G35" s="54" t="s">
        <v>3745</v>
      </c>
      <c r="H35" s="54" t="s">
        <v>3746</v>
      </c>
      <c r="I35" s="53" t="s">
        <v>3747</v>
      </c>
      <c r="J35" s="54" t="s">
        <v>3748</v>
      </c>
      <c r="K35" s="53" t="s">
        <v>3749</v>
      </c>
      <c r="L35" s="60" t="s">
        <v>9</v>
      </c>
      <c r="M35" s="70" t="n">
        <v>6</v>
      </c>
      <c r="N35" s="71" t="s">
        <v>3473</v>
      </c>
      <c r="O35" s="59" t="s">
        <v>161</v>
      </c>
      <c r="P35" s="54" t="s">
        <v>3750</v>
      </c>
      <c r="Q35" s="54" t="s">
        <v>131</v>
      </c>
      <c r="R35" s="58" t="s">
        <v>132</v>
      </c>
      <c r="S35" s="54" t="s">
        <v>98</v>
      </c>
    </row>
    <row r="36" customFormat="false" ht="35.05" hidden="false" customHeight="false" outlineLevel="0" collapsed="false">
      <c r="A36" s="51" t="s">
        <v>3751</v>
      </c>
      <c r="B36" s="51" t="n">
        <v>32</v>
      </c>
      <c r="C36" s="52" t="s">
        <v>3752</v>
      </c>
      <c r="D36" s="53" t="s">
        <v>3753</v>
      </c>
      <c r="E36" s="54" t="s">
        <v>3754</v>
      </c>
      <c r="F36" s="54" t="s">
        <v>103</v>
      </c>
      <c r="G36" s="54" t="s">
        <v>3755</v>
      </c>
      <c r="H36" s="54" t="s">
        <v>3756</v>
      </c>
      <c r="I36" s="53" t="s">
        <v>3757</v>
      </c>
      <c r="J36" s="54" t="s">
        <v>3758</v>
      </c>
      <c r="K36" s="53" t="s">
        <v>3759</v>
      </c>
      <c r="L36" s="60" t="s">
        <v>9</v>
      </c>
      <c r="M36" s="70" t="n">
        <v>6</v>
      </c>
      <c r="N36" s="71" t="s">
        <v>3473</v>
      </c>
      <c r="O36" s="51" t="s">
        <v>95</v>
      </c>
      <c r="P36" s="54"/>
      <c r="Q36" s="54" t="s">
        <v>131</v>
      </c>
      <c r="R36" s="58" t="s">
        <v>132</v>
      </c>
      <c r="S36" s="54" t="s">
        <v>98</v>
      </c>
    </row>
    <row r="37" customFormat="false" ht="35.05" hidden="false" customHeight="false" outlineLevel="0" collapsed="false">
      <c r="A37" s="51" t="s">
        <v>3760</v>
      </c>
      <c r="B37" s="51" t="n">
        <v>33</v>
      </c>
      <c r="C37" s="52" t="s">
        <v>3761</v>
      </c>
      <c r="D37" s="53" t="s">
        <v>3762</v>
      </c>
      <c r="E37" s="54" t="s">
        <v>3763</v>
      </c>
      <c r="F37" s="54" t="s">
        <v>115</v>
      </c>
      <c r="G37" s="54" t="s">
        <v>3764</v>
      </c>
      <c r="H37" s="54" t="s">
        <v>3765</v>
      </c>
      <c r="I37" s="53" t="s">
        <v>3766</v>
      </c>
      <c r="J37" s="54" t="s">
        <v>3767</v>
      </c>
      <c r="K37" s="53" t="s">
        <v>3768</v>
      </c>
      <c r="L37" s="60" t="s">
        <v>9</v>
      </c>
      <c r="M37" s="70" t="n">
        <v>6</v>
      </c>
      <c r="N37" s="71" t="s">
        <v>3473</v>
      </c>
      <c r="O37" s="51" t="s">
        <v>95</v>
      </c>
      <c r="P37" s="54"/>
      <c r="Q37" s="54" t="s">
        <v>131</v>
      </c>
      <c r="R37" s="58" t="s">
        <v>132</v>
      </c>
      <c r="S37" s="54" t="s">
        <v>98</v>
      </c>
    </row>
    <row r="38" customFormat="false" ht="35.05" hidden="false" customHeight="false" outlineLevel="0" collapsed="false">
      <c r="A38" s="51" t="s">
        <v>3769</v>
      </c>
      <c r="B38" s="51" t="n">
        <v>34</v>
      </c>
      <c r="C38" s="52" t="s">
        <v>3770</v>
      </c>
      <c r="D38" s="53" t="s">
        <v>3771</v>
      </c>
      <c r="E38" s="54" t="s">
        <v>3772</v>
      </c>
      <c r="F38" s="54" t="s">
        <v>103</v>
      </c>
      <c r="G38" s="54" t="s">
        <v>3773</v>
      </c>
      <c r="H38" s="54" t="s">
        <v>3774</v>
      </c>
      <c r="I38" s="53" t="s">
        <v>3775</v>
      </c>
      <c r="J38" s="54" t="s">
        <v>3776</v>
      </c>
      <c r="K38" s="53" t="s">
        <v>3777</v>
      </c>
      <c r="L38" s="60" t="s">
        <v>9</v>
      </c>
      <c r="M38" s="70" t="n">
        <v>6</v>
      </c>
      <c r="N38" s="71" t="s">
        <v>3473</v>
      </c>
      <c r="O38" s="51" t="s">
        <v>95</v>
      </c>
      <c r="P38" s="54"/>
      <c r="Q38" s="54" t="s">
        <v>131</v>
      </c>
      <c r="R38" s="58" t="s">
        <v>132</v>
      </c>
      <c r="S38" s="54" t="s">
        <v>98</v>
      </c>
    </row>
    <row r="39" customFormat="false" ht="35.05" hidden="false" customHeight="false" outlineLevel="0" collapsed="false">
      <c r="A39" s="51" t="s">
        <v>3778</v>
      </c>
      <c r="B39" s="51" t="n">
        <v>35</v>
      </c>
      <c r="C39" s="52" t="s">
        <v>3779</v>
      </c>
      <c r="D39" s="53" t="s">
        <v>3780</v>
      </c>
      <c r="E39" s="54" t="s">
        <v>3781</v>
      </c>
      <c r="F39" s="54" t="s">
        <v>176</v>
      </c>
      <c r="G39" s="54" t="s">
        <v>3782</v>
      </c>
      <c r="H39" s="54" t="s">
        <v>3783</v>
      </c>
      <c r="I39" s="53" t="s">
        <v>3784</v>
      </c>
      <c r="J39" s="54" t="s">
        <v>3785</v>
      </c>
      <c r="K39" s="53" t="s">
        <v>3786</v>
      </c>
      <c r="L39" s="60" t="s">
        <v>9</v>
      </c>
      <c r="M39" s="70" t="n">
        <v>6</v>
      </c>
      <c r="N39" s="71" t="s">
        <v>3473</v>
      </c>
      <c r="O39" s="51" t="s">
        <v>95</v>
      </c>
      <c r="P39" s="54"/>
      <c r="Q39" s="54" t="s">
        <v>131</v>
      </c>
      <c r="R39" s="58" t="s">
        <v>132</v>
      </c>
      <c r="S39" s="54" t="s">
        <v>98</v>
      </c>
    </row>
    <row r="40" customFormat="false" ht="35.05" hidden="false" customHeight="false" outlineLevel="0" collapsed="false">
      <c r="A40" s="51" t="s">
        <v>3787</v>
      </c>
      <c r="B40" s="51" t="n">
        <v>36</v>
      </c>
      <c r="C40" s="52" t="s">
        <v>3788</v>
      </c>
      <c r="D40" s="53" t="s">
        <v>3789</v>
      </c>
      <c r="E40" s="54" t="s">
        <v>3790</v>
      </c>
      <c r="F40" s="54" t="s">
        <v>3487</v>
      </c>
      <c r="G40" s="54" t="s">
        <v>3791</v>
      </c>
      <c r="H40" s="54" t="s">
        <v>3792</v>
      </c>
      <c r="I40" s="53" t="s">
        <v>3793</v>
      </c>
      <c r="J40" s="54" t="s">
        <v>3794</v>
      </c>
      <c r="K40" s="53" t="s">
        <v>3795</v>
      </c>
      <c r="L40" s="60" t="s">
        <v>9</v>
      </c>
      <c r="M40" s="70" t="n">
        <v>6</v>
      </c>
      <c r="N40" s="71" t="s">
        <v>3473</v>
      </c>
      <c r="O40" s="51" t="s">
        <v>95</v>
      </c>
      <c r="P40" s="54"/>
      <c r="Q40" s="54" t="s">
        <v>131</v>
      </c>
      <c r="R40" s="58" t="s">
        <v>132</v>
      </c>
      <c r="S40" s="54" t="s">
        <v>98</v>
      </c>
    </row>
    <row r="41" customFormat="false" ht="35.05" hidden="false" customHeight="false" outlineLevel="0" collapsed="false">
      <c r="A41" s="51" t="s">
        <v>3796</v>
      </c>
      <c r="B41" s="51" t="n">
        <v>37</v>
      </c>
      <c r="C41" s="52" t="s">
        <v>3797</v>
      </c>
      <c r="D41" s="53" t="s">
        <v>3798</v>
      </c>
      <c r="E41" s="54" t="s">
        <v>3799</v>
      </c>
      <c r="F41" s="54" t="s">
        <v>3034</v>
      </c>
      <c r="G41" s="54" t="s">
        <v>3800</v>
      </c>
      <c r="H41" s="54" t="s">
        <v>3801</v>
      </c>
      <c r="I41" s="53" t="s">
        <v>3802</v>
      </c>
      <c r="J41" s="54" t="s">
        <v>3803</v>
      </c>
      <c r="K41" s="53" t="s">
        <v>3804</v>
      </c>
      <c r="L41" s="60" t="s">
        <v>9</v>
      </c>
      <c r="M41" s="70" t="n">
        <v>6</v>
      </c>
      <c r="N41" s="71" t="s">
        <v>3473</v>
      </c>
      <c r="O41" s="51" t="s">
        <v>95</v>
      </c>
      <c r="P41" s="54"/>
      <c r="Q41" s="54" t="s">
        <v>131</v>
      </c>
      <c r="R41" s="58" t="s">
        <v>132</v>
      </c>
      <c r="S41" s="54" t="s">
        <v>98</v>
      </c>
    </row>
    <row r="42" customFormat="false" ht="35.05" hidden="false" customHeight="false" outlineLevel="0" collapsed="false">
      <c r="A42" s="51" t="s">
        <v>3805</v>
      </c>
      <c r="B42" s="51" t="n">
        <v>38</v>
      </c>
      <c r="C42" s="52" t="s">
        <v>3806</v>
      </c>
      <c r="D42" s="53" t="s">
        <v>3807</v>
      </c>
      <c r="E42" s="54" t="s">
        <v>3808</v>
      </c>
      <c r="F42" s="54" t="s">
        <v>614</v>
      </c>
      <c r="G42" s="54" t="s">
        <v>3809</v>
      </c>
      <c r="H42" s="54" t="s">
        <v>3810</v>
      </c>
      <c r="I42" s="53" t="s">
        <v>3811</v>
      </c>
      <c r="J42" s="54" t="s">
        <v>3812</v>
      </c>
      <c r="K42" s="53" t="s">
        <v>3813</v>
      </c>
      <c r="L42" s="60" t="s">
        <v>9</v>
      </c>
      <c r="M42" s="70" t="n">
        <v>6</v>
      </c>
      <c r="N42" s="71" t="s">
        <v>3473</v>
      </c>
      <c r="O42" s="51" t="s">
        <v>95</v>
      </c>
      <c r="P42" s="54"/>
      <c r="Q42" s="54" t="s">
        <v>131</v>
      </c>
      <c r="R42" s="58" t="s">
        <v>132</v>
      </c>
      <c r="S42" s="54" t="s">
        <v>98</v>
      </c>
    </row>
    <row r="43" customFormat="false" ht="35.05" hidden="false" customHeight="false" outlineLevel="0" collapsed="false">
      <c r="A43" s="51" t="s">
        <v>3814</v>
      </c>
      <c r="B43" s="51" t="n">
        <v>39</v>
      </c>
      <c r="C43" s="52" t="s">
        <v>3815</v>
      </c>
      <c r="D43" s="53" t="s">
        <v>3816</v>
      </c>
      <c r="E43" s="54" t="s">
        <v>3817</v>
      </c>
      <c r="F43" s="54" t="s">
        <v>614</v>
      </c>
      <c r="G43" s="54" t="s">
        <v>3818</v>
      </c>
      <c r="H43" s="54" t="s">
        <v>3819</v>
      </c>
      <c r="I43" s="53" t="s">
        <v>3820</v>
      </c>
      <c r="J43" s="54" t="s">
        <v>3821</v>
      </c>
      <c r="K43" s="53" t="s">
        <v>3822</v>
      </c>
      <c r="L43" s="60" t="s">
        <v>9</v>
      </c>
      <c r="M43" s="70" t="n">
        <v>6</v>
      </c>
      <c r="N43" s="71" t="s">
        <v>3473</v>
      </c>
      <c r="O43" s="59" t="s">
        <v>161</v>
      </c>
      <c r="P43" s="54" t="s">
        <v>620</v>
      </c>
      <c r="Q43" s="54" t="s">
        <v>131</v>
      </c>
      <c r="R43" s="58" t="s">
        <v>132</v>
      </c>
      <c r="S43" s="54" t="s">
        <v>98</v>
      </c>
    </row>
    <row r="44" customFormat="false" ht="35.05" hidden="false" customHeight="false" outlineLevel="0" collapsed="false">
      <c r="A44" s="51" t="s">
        <v>3823</v>
      </c>
      <c r="B44" s="51" t="n">
        <v>40</v>
      </c>
      <c r="C44" s="52" t="s">
        <v>3824</v>
      </c>
      <c r="D44" s="53" t="s">
        <v>3825</v>
      </c>
      <c r="E44" s="54" t="s">
        <v>3826</v>
      </c>
      <c r="F44" s="54" t="s">
        <v>3487</v>
      </c>
      <c r="G44" s="54" t="s">
        <v>3827</v>
      </c>
      <c r="H44" s="54" t="s">
        <v>3828</v>
      </c>
      <c r="I44" s="53" t="s">
        <v>3829</v>
      </c>
      <c r="J44" s="54" t="s">
        <v>3830</v>
      </c>
      <c r="K44" s="53" t="s">
        <v>3831</v>
      </c>
      <c r="L44" s="61" t="s">
        <v>10</v>
      </c>
      <c r="M44" s="70" t="n">
        <v>6</v>
      </c>
      <c r="N44" s="71" t="s">
        <v>3473</v>
      </c>
      <c r="O44" s="51" t="s">
        <v>95</v>
      </c>
      <c r="P44" s="54"/>
      <c r="Q44" s="54" t="s">
        <v>131</v>
      </c>
      <c r="R44" s="58" t="s">
        <v>132</v>
      </c>
      <c r="S44" s="54" t="s">
        <v>98</v>
      </c>
    </row>
    <row r="45" customFormat="false" ht="35.05" hidden="false" customHeight="false" outlineLevel="0" collapsed="false">
      <c r="A45" s="51" t="s">
        <v>3832</v>
      </c>
      <c r="B45" s="51" t="n">
        <v>41</v>
      </c>
      <c r="C45" s="52" t="s">
        <v>3833</v>
      </c>
      <c r="D45" s="53" t="s">
        <v>3834</v>
      </c>
      <c r="E45" s="54" t="s">
        <v>3835</v>
      </c>
      <c r="F45" s="54" t="s">
        <v>3487</v>
      </c>
      <c r="G45" s="54" t="s">
        <v>3836</v>
      </c>
      <c r="H45" s="54" t="s">
        <v>3837</v>
      </c>
      <c r="I45" s="53" t="s">
        <v>3838</v>
      </c>
      <c r="J45" s="54" t="s">
        <v>3839</v>
      </c>
      <c r="K45" s="53" t="s">
        <v>3840</v>
      </c>
      <c r="L45" s="61" t="s">
        <v>10</v>
      </c>
      <c r="M45" s="70" t="n">
        <v>6</v>
      </c>
      <c r="N45" s="71" t="s">
        <v>3473</v>
      </c>
      <c r="O45" s="51" t="s">
        <v>95</v>
      </c>
      <c r="P45" s="54"/>
      <c r="Q45" s="54" t="s">
        <v>131</v>
      </c>
      <c r="R45" s="58" t="s">
        <v>132</v>
      </c>
      <c r="S45" s="54" t="s">
        <v>98</v>
      </c>
    </row>
    <row r="46" customFormat="false" ht="35.05" hidden="false" customHeight="false" outlineLevel="0" collapsed="false">
      <c r="A46" s="51" t="s">
        <v>3841</v>
      </c>
      <c r="B46" s="51" t="n">
        <v>42</v>
      </c>
      <c r="C46" s="52" t="s">
        <v>3842</v>
      </c>
      <c r="D46" s="53" t="s">
        <v>3843</v>
      </c>
      <c r="E46" s="54" t="s">
        <v>3844</v>
      </c>
      <c r="F46" s="54" t="s">
        <v>261</v>
      </c>
      <c r="G46" s="54" t="s">
        <v>3845</v>
      </c>
      <c r="H46" s="54" t="s">
        <v>3846</v>
      </c>
      <c r="I46" s="53" t="s">
        <v>3847</v>
      </c>
      <c r="J46" s="54" t="s">
        <v>3848</v>
      </c>
      <c r="K46" s="53" t="s">
        <v>3849</v>
      </c>
      <c r="L46" s="61" t="s">
        <v>10</v>
      </c>
      <c r="M46" s="70" t="n">
        <v>6</v>
      </c>
      <c r="N46" s="71" t="s">
        <v>3473</v>
      </c>
      <c r="O46" s="51" t="s">
        <v>95</v>
      </c>
      <c r="P46" s="54"/>
      <c r="Q46" s="54" t="s">
        <v>131</v>
      </c>
      <c r="R46" s="58" t="s">
        <v>132</v>
      </c>
      <c r="S46" s="54" t="s">
        <v>98</v>
      </c>
    </row>
    <row r="47" customFormat="false" ht="35.05" hidden="false" customHeight="false" outlineLevel="0" collapsed="false">
      <c r="A47" s="51" t="s">
        <v>3850</v>
      </c>
      <c r="B47" s="51" t="n">
        <v>43</v>
      </c>
      <c r="C47" s="52" t="s">
        <v>3851</v>
      </c>
      <c r="D47" s="53" t="s">
        <v>3852</v>
      </c>
      <c r="E47" s="54" t="s">
        <v>3853</v>
      </c>
      <c r="F47" s="54" t="s">
        <v>3487</v>
      </c>
      <c r="G47" s="54" t="s">
        <v>3854</v>
      </c>
      <c r="H47" s="54" t="s">
        <v>3855</v>
      </c>
      <c r="I47" s="53" t="s">
        <v>3856</v>
      </c>
      <c r="J47" s="54" t="s">
        <v>3857</v>
      </c>
      <c r="K47" s="53" t="s">
        <v>3858</v>
      </c>
      <c r="L47" s="61" t="s">
        <v>10</v>
      </c>
      <c r="M47" s="70" t="n">
        <v>6</v>
      </c>
      <c r="N47" s="71" t="s">
        <v>3473</v>
      </c>
      <c r="O47" s="51" t="s">
        <v>95</v>
      </c>
      <c r="P47" s="54"/>
      <c r="Q47" s="54" t="s">
        <v>131</v>
      </c>
      <c r="R47" s="58" t="s">
        <v>132</v>
      </c>
      <c r="S47" s="54" t="s">
        <v>98</v>
      </c>
    </row>
    <row r="48" customFormat="false" ht="35.05" hidden="false" customHeight="false" outlineLevel="0" collapsed="false">
      <c r="A48" s="51" t="s">
        <v>3859</v>
      </c>
      <c r="B48" s="51" t="n">
        <v>44</v>
      </c>
      <c r="C48" s="52" t="s">
        <v>3860</v>
      </c>
      <c r="D48" s="53" t="s">
        <v>3861</v>
      </c>
      <c r="E48" s="54" t="s">
        <v>3862</v>
      </c>
      <c r="F48" s="54" t="s">
        <v>3487</v>
      </c>
      <c r="G48" s="54" t="s">
        <v>3863</v>
      </c>
      <c r="H48" s="54" t="s">
        <v>3864</v>
      </c>
      <c r="I48" s="53" t="s">
        <v>3865</v>
      </c>
      <c r="J48" s="54" t="s">
        <v>3866</v>
      </c>
      <c r="K48" s="53" t="s">
        <v>3867</v>
      </c>
      <c r="L48" s="61" t="s">
        <v>10</v>
      </c>
      <c r="M48" s="70" t="n">
        <v>6</v>
      </c>
      <c r="N48" s="71" t="s">
        <v>3473</v>
      </c>
      <c r="O48" s="51" t="s">
        <v>95</v>
      </c>
      <c r="P48" s="54"/>
      <c r="Q48" s="54" t="s">
        <v>131</v>
      </c>
      <c r="R48" s="58" t="s">
        <v>132</v>
      </c>
      <c r="S48" s="54" t="s">
        <v>98</v>
      </c>
    </row>
    <row r="49" customFormat="false" ht="35.05" hidden="false" customHeight="false" outlineLevel="0" collapsed="false">
      <c r="A49" s="51" t="s">
        <v>3868</v>
      </c>
      <c r="B49" s="51" t="n">
        <v>45</v>
      </c>
      <c r="C49" s="52" t="s">
        <v>3869</v>
      </c>
      <c r="D49" s="53" t="s">
        <v>3870</v>
      </c>
      <c r="E49" s="54" t="s">
        <v>3871</v>
      </c>
      <c r="F49" s="54" t="s">
        <v>3487</v>
      </c>
      <c r="G49" s="54" t="s">
        <v>3872</v>
      </c>
      <c r="H49" s="54" t="s">
        <v>3873</v>
      </c>
      <c r="I49" s="53" t="s">
        <v>3874</v>
      </c>
      <c r="J49" s="54" t="s">
        <v>3875</v>
      </c>
      <c r="K49" s="53" t="s">
        <v>3876</v>
      </c>
      <c r="L49" s="61" t="s">
        <v>10</v>
      </c>
      <c r="M49" s="70" t="n">
        <v>6</v>
      </c>
      <c r="N49" s="71" t="s">
        <v>3473</v>
      </c>
      <c r="O49" s="51" t="s">
        <v>95</v>
      </c>
      <c r="P49" s="54"/>
      <c r="Q49" s="54" t="s">
        <v>131</v>
      </c>
      <c r="R49" s="58" t="s">
        <v>132</v>
      </c>
      <c r="S49" s="54" t="s">
        <v>98</v>
      </c>
    </row>
    <row r="50" customFormat="false" ht="35.05" hidden="false" customHeight="false" outlineLevel="0" collapsed="false">
      <c r="A50" s="51" t="s">
        <v>3877</v>
      </c>
      <c r="B50" s="51" t="n">
        <v>46</v>
      </c>
      <c r="C50" s="52" t="s">
        <v>3878</v>
      </c>
      <c r="D50" s="53" t="s">
        <v>3879</v>
      </c>
      <c r="E50" s="54" t="s">
        <v>3880</v>
      </c>
      <c r="F50" s="54" t="s">
        <v>3487</v>
      </c>
      <c r="G50" s="54" t="s">
        <v>3881</v>
      </c>
      <c r="H50" s="54" t="s">
        <v>3882</v>
      </c>
      <c r="I50" s="53" t="s">
        <v>3883</v>
      </c>
      <c r="J50" s="54" t="s">
        <v>3884</v>
      </c>
      <c r="K50" s="53" t="s">
        <v>3885</v>
      </c>
      <c r="L50" s="61" t="s">
        <v>10</v>
      </c>
      <c r="M50" s="70" t="n">
        <v>6</v>
      </c>
      <c r="N50" s="71" t="s">
        <v>3473</v>
      </c>
      <c r="O50" s="51" t="s">
        <v>95</v>
      </c>
      <c r="P50" s="54"/>
      <c r="Q50" s="54" t="s">
        <v>131</v>
      </c>
      <c r="R50" s="58" t="s">
        <v>132</v>
      </c>
      <c r="S50" s="54" t="s">
        <v>98</v>
      </c>
    </row>
    <row r="51" customFormat="false" ht="35.05" hidden="false" customHeight="false" outlineLevel="0" collapsed="false">
      <c r="A51" s="51" t="s">
        <v>3886</v>
      </c>
      <c r="B51" s="51" t="n">
        <v>47</v>
      </c>
      <c r="C51" s="52" t="s">
        <v>3887</v>
      </c>
      <c r="D51" s="53" t="s">
        <v>3888</v>
      </c>
      <c r="E51" s="54" t="s">
        <v>3889</v>
      </c>
      <c r="F51" s="54" t="s">
        <v>261</v>
      </c>
      <c r="G51" s="54" t="s">
        <v>3890</v>
      </c>
      <c r="H51" s="54" t="s">
        <v>3891</v>
      </c>
      <c r="I51" s="53" t="s">
        <v>3892</v>
      </c>
      <c r="J51" s="54" t="s">
        <v>3893</v>
      </c>
      <c r="K51" s="53" t="s">
        <v>3894</v>
      </c>
      <c r="L51" s="61" t="s">
        <v>10</v>
      </c>
      <c r="M51" s="70" t="n">
        <v>6</v>
      </c>
      <c r="N51" s="71" t="s">
        <v>3473</v>
      </c>
      <c r="O51" s="51" t="s">
        <v>95</v>
      </c>
      <c r="P51" s="54"/>
      <c r="Q51" s="54" t="s">
        <v>131</v>
      </c>
      <c r="R51" s="58" t="s">
        <v>132</v>
      </c>
      <c r="S51" s="54" t="s">
        <v>98</v>
      </c>
    </row>
    <row r="52" customFormat="false" ht="35.05" hidden="false" customHeight="false" outlineLevel="0" collapsed="false">
      <c r="A52" s="51" t="s">
        <v>3895</v>
      </c>
      <c r="B52" s="51" t="n">
        <v>48</v>
      </c>
      <c r="C52" s="52" t="s">
        <v>3896</v>
      </c>
      <c r="D52" s="53" t="s">
        <v>3897</v>
      </c>
      <c r="E52" s="54" t="s">
        <v>3898</v>
      </c>
      <c r="F52" s="54" t="s">
        <v>3487</v>
      </c>
      <c r="G52" s="54" t="s">
        <v>3899</v>
      </c>
      <c r="H52" s="54" t="s">
        <v>3900</v>
      </c>
      <c r="I52" s="53" t="s">
        <v>3901</v>
      </c>
      <c r="J52" s="54" t="s">
        <v>3902</v>
      </c>
      <c r="K52" s="53" t="s">
        <v>3903</v>
      </c>
      <c r="L52" s="61" t="s">
        <v>10</v>
      </c>
      <c r="M52" s="70" t="n">
        <v>6</v>
      </c>
      <c r="N52" s="71" t="s">
        <v>3473</v>
      </c>
      <c r="O52" s="59" t="s">
        <v>161</v>
      </c>
      <c r="P52" s="54" t="s">
        <v>620</v>
      </c>
      <c r="Q52" s="54" t="s">
        <v>131</v>
      </c>
      <c r="R52" s="58" t="s">
        <v>132</v>
      </c>
      <c r="S52" s="54" t="s">
        <v>98</v>
      </c>
    </row>
    <row r="53" customFormat="false" ht="35.05" hidden="false" customHeight="false" outlineLevel="0" collapsed="false">
      <c r="A53" s="51" t="s">
        <v>3904</v>
      </c>
      <c r="B53" s="51" t="n">
        <v>49</v>
      </c>
      <c r="C53" s="52" t="s">
        <v>3905</v>
      </c>
      <c r="D53" s="53" t="s">
        <v>3906</v>
      </c>
      <c r="E53" s="54" t="s">
        <v>3907</v>
      </c>
      <c r="F53" s="54" t="s">
        <v>3034</v>
      </c>
      <c r="G53" s="54" t="s">
        <v>3908</v>
      </c>
      <c r="H53" s="54" t="s">
        <v>3909</v>
      </c>
      <c r="I53" s="53" t="s">
        <v>3910</v>
      </c>
      <c r="J53" s="54" t="s">
        <v>3911</v>
      </c>
      <c r="K53" s="53" t="s">
        <v>3912</v>
      </c>
      <c r="L53" s="61" t="s">
        <v>10</v>
      </c>
      <c r="M53" s="70" t="n">
        <v>6</v>
      </c>
      <c r="N53" s="71" t="s">
        <v>3473</v>
      </c>
      <c r="O53" s="51" t="s">
        <v>95</v>
      </c>
      <c r="P53" s="54"/>
      <c r="Q53" s="54" t="s">
        <v>131</v>
      </c>
      <c r="R53" s="58" t="s">
        <v>132</v>
      </c>
      <c r="S53" s="54" t="s">
        <v>98</v>
      </c>
    </row>
  </sheetData>
  <autoFilter ref="A4:S53"/>
  <mergeCells count="2">
    <mergeCell ref="A1:S1"/>
    <mergeCell ref="A2:S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9A825"/>
    <pageSetUpPr fitToPage="true"/>
  </sheetPr>
  <dimension ref="A1:S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
    <col collapsed="false" customWidth="true" hidden="false" outlineLevel="0" max="3" min="3" style="0" width="30"/>
    <col collapsed="false" customWidth="true" hidden="false" outlineLevel="0" max="4" min="4" style="0" width="26"/>
    <col collapsed="false" customWidth="true" hidden="false" outlineLevel="0" max="5" min="5" style="0" width="24"/>
    <col collapsed="false" customWidth="true" hidden="false" outlineLevel="0" max="6" min="6" style="0" width="22"/>
    <col collapsed="false" customWidth="true" hidden="false" outlineLevel="0" max="7" min="7" style="0" width="55"/>
    <col collapsed="false" customWidth="true" hidden="false" outlineLevel="0" max="8" min="8" style="0" width="46"/>
    <col collapsed="false" customWidth="true" hidden="false" outlineLevel="0" max="9" min="9" style="0" width="44"/>
    <col collapsed="false" customWidth="true" hidden="false" outlineLevel="0" max="10" min="10" style="0" width="46"/>
    <col collapsed="false" customWidth="true" hidden="false" outlineLevel="0" max="11" min="11" style="0" width="44"/>
    <col collapsed="false" customWidth="true" hidden="false" outlineLevel="0" max="12" min="12" style="0" width="14"/>
    <col collapsed="false" customWidth="true" hidden="false" outlineLevel="0" max="13" min="13" style="0" width="8"/>
    <col collapsed="false" customWidth="true" hidden="false" outlineLevel="0" max="14" min="14" style="0" width="30"/>
    <col collapsed="false" customWidth="true" hidden="false" outlineLevel="0" max="15" min="15" style="0" width="12"/>
    <col collapsed="false" customWidth="true" hidden="false" outlineLevel="0" max="16" min="16" style="0" width="24"/>
    <col collapsed="false" customWidth="true" hidden="false" outlineLevel="0" max="17" min="17" style="0" width="28"/>
    <col collapsed="false" customWidth="true" hidden="false" outlineLevel="0" max="18" min="18" style="0" width="45"/>
    <col collapsed="false" customWidth="true" hidden="false" outlineLevel="0" max="19" min="19" style="0" width="50"/>
  </cols>
  <sheetData>
    <row r="1" customFormat="false" ht="17.15" hidden="false" customHeight="false" outlineLevel="0" collapsed="false">
      <c r="A1" s="1" t="s">
        <v>4076</v>
      </c>
      <c r="B1" s="1"/>
      <c r="C1" s="1"/>
      <c r="D1" s="1"/>
      <c r="E1" s="1"/>
      <c r="F1" s="1"/>
      <c r="G1" s="1"/>
      <c r="H1" s="1"/>
      <c r="I1" s="1"/>
      <c r="J1" s="1"/>
      <c r="K1" s="1"/>
      <c r="L1" s="1"/>
      <c r="M1" s="1"/>
      <c r="N1" s="1"/>
      <c r="O1" s="1"/>
      <c r="P1" s="1"/>
      <c r="Q1" s="1"/>
      <c r="R1" s="1"/>
      <c r="S1" s="1"/>
    </row>
    <row r="2" customFormat="false" ht="11.9" hidden="false" customHeight="false" outlineLevel="0" collapsed="false">
      <c r="A2" s="2" t="s">
        <v>4077</v>
      </c>
      <c r="B2" s="2"/>
      <c r="C2" s="2"/>
      <c r="D2" s="2"/>
      <c r="E2" s="2"/>
      <c r="F2" s="2"/>
      <c r="G2" s="2"/>
      <c r="H2" s="2"/>
      <c r="I2" s="2"/>
      <c r="J2" s="2"/>
      <c r="K2" s="2"/>
      <c r="L2" s="2"/>
      <c r="M2" s="2"/>
      <c r="N2" s="2"/>
      <c r="O2" s="2"/>
      <c r="P2" s="2"/>
      <c r="Q2" s="2"/>
      <c r="R2" s="2"/>
      <c r="S2" s="2"/>
    </row>
    <row r="4" customFormat="false" ht="30" hidden="false" customHeight="true" outlineLevel="0" collapsed="false">
      <c r="A4" s="3" t="s">
        <v>50</v>
      </c>
      <c r="B4" s="3" t="s">
        <v>74</v>
      </c>
      <c r="C4" s="3" t="s">
        <v>75</v>
      </c>
      <c r="D4" s="3" t="s">
        <v>76</v>
      </c>
      <c r="E4" s="3" t="s">
        <v>54</v>
      </c>
      <c r="F4" s="3" t="s">
        <v>56</v>
      </c>
      <c r="G4" s="3" t="s">
        <v>58</v>
      </c>
      <c r="H4" s="3" t="s">
        <v>77</v>
      </c>
      <c r="I4" s="3" t="s">
        <v>78</v>
      </c>
      <c r="J4" s="3" t="s">
        <v>79</v>
      </c>
      <c r="K4" s="3" t="s">
        <v>80</v>
      </c>
      <c r="L4" s="3" t="s">
        <v>62</v>
      </c>
      <c r="M4" s="3" t="s">
        <v>2</v>
      </c>
      <c r="N4" s="3" t="s">
        <v>81</v>
      </c>
      <c r="O4" s="3" t="s">
        <v>64</v>
      </c>
      <c r="P4" s="3" t="s">
        <v>66</v>
      </c>
      <c r="Q4" s="3" t="s">
        <v>82</v>
      </c>
      <c r="R4" s="3" t="s">
        <v>83</v>
      </c>
      <c r="S4" s="3" t="s">
        <v>70</v>
      </c>
    </row>
    <row r="5" customFormat="false" ht="35.05" hidden="false" customHeight="false" outlineLevel="0" collapsed="false">
      <c r="A5" s="51" t="s">
        <v>3913</v>
      </c>
      <c r="B5" s="51" t="n">
        <v>1</v>
      </c>
      <c r="C5" s="52" t="s">
        <v>3914</v>
      </c>
      <c r="D5" s="53" t="s">
        <v>3915</v>
      </c>
      <c r="E5" s="54" t="s">
        <v>3916</v>
      </c>
      <c r="F5" s="54" t="s">
        <v>3917</v>
      </c>
      <c r="G5" s="54" t="s">
        <v>3918</v>
      </c>
      <c r="H5" s="54" t="s">
        <v>3919</v>
      </c>
      <c r="I5" s="53" t="s">
        <v>3920</v>
      </c>
      <c r="J5" s="54" t="s">
        <v>3921</v>
      </c>
      <c r="K5" s="53" t="s">
        <v>3922</v>
      </c>
      <c r="L5" s="55" t="s">
        <v>8</v>
      </c>
      <c r="M5" s="72" t="n">
        <v>7</v>
      </c>
      <c r="N5" s="73" t="s">
        <v>3923</v>
      </c>
      <c r="O5" s="59" t="s">
        <v>161</v>
      </c>
      <c r="P5" s="54" t="s">
        <v>3924</v>
      </c>
      <c r="Q5" s="54" t="s">
        <v>131</v>
      </c>
      <c r="R5" s="58" t="s">
        <v>132</v>
      </c>
      <c r="S5" s="54" t="s">
        <v>98</v>
      </c>
    </row>
    <row r="6" customFormat="false" ht="35.05" hidden="false" customHeight="false" outlineLevel="0" collapsed="false">
      <c r="A6" s="51" t="s">
        <v>3925</v>
      </c>
      <c r="B6" s="51" t="n">
        <v>2</v>
      </c>
      <c r="C6" s="52" t="s">
        <v>3926</v>
      </c>
      <c r="D6" s="53" t="s">
        <v>3927</v>
      </c>
      <c r="E6" s="54" t="s">
        <v>3928</v>
      </c>
      <c r="F6" s="54" t="s">
        <v>3929</v>
      </c>
      <c r="G6" s="54" t="s">
        <v>3930</v>
      </c>
      <c r="H6" s="54" t="s">
        <v>3931</v>
      </c>
      <c r="I6" s="53" t="s">
        <v>3932</v>
      </c>
      <c r="J6" s="54" t="s">
        <v>3933</v>
      </c>
      <c r="K6" s="53" t="s">
        <v>3934</v>
      </c>
      <c r="L6" s="55" t="s">
        <v>8</v>
      </c>
      <c r="M6" s="72" t="n">
        <v>7</v>
      </c>
      <c r="N6" s="73" t="s">
        <v>3923</v>
      </c>
      <c r="O6" s="59" t="s">
        <v>161</v>
      </c>
      <c r="P6" s="54" t="s">
        <v>554</v>
      </c>
      <c r="Q6" s="54" t="s">
        <v>131</v>
      </c>
      <c r="R6" s="58" t="s">
        <v>132</v>
      </c>
      <c r="S6" s="54" t="s">
        <v>98</v>
      </c>
    </row>
    <row r="7" customFormat="false" ht="35.05" hidden="false" customHeight="false" outlineLevel="0" collapsed="false">
      <c r="A7" s="51" t="s">
        <v>3935</v>
      </c>
      <c r="B7" s="51" t="n">
        <v>3</v>
      </c>
      <c r="C7" s="52" t="s">
        <v>3917</v>
      </c>
      <c r="D7" s="53" t="s">
        <v>3936</v>
      </c>
      <c r="E7" s="54" t="s">
        <v>3937</v>
      </c>
      <c r="F7" s="54" t="s">
        <v>3917</v>
      </c>
      <c r="G7" s="54" t="s">
        <v>3938</v>
      </c>
      <c r="H7" s="54" t="s">
        <v>3939</v>
      </c>
      <c r="I7" s="53" t="s">
        <v>3940</v>
      </c>
      <c r="J7" s="54" t="s">
        <v>3941</v>
      </c>
      <c r="K7" s="53" t="s">
        <v>3942</v>
      </c>
      <c r="L7" s="55" t="s">
        <v>8</v>
      </c>
      <c r="M7" s="72" t="n">
        <v>7</v>
      </c>
      <c r="N7" s="73" t="s">
        <v>3923</v>
      </c>
      <c r="O7" s="59" t="s">
        <v>161</v>
      </c>
      <c r="P7" s="54" t="s">
        <v>3943</v>
      </c>
      <c r="Q7" s="54" t="s">
        <v>131</v>
      </c>
      <c r="R7" s="58" t="s">
        <v>132</v>
      </c>
      <c r="S7" s="54" t="s">
        <v>98</v>
      </c>
    </row>
    <row r="8" customFormat="false" ht="35.05" hidden="false" customHeight="false" outlineLevel="0" collapsed="false">
      <c r="A8" s="51" t="s">
        <v>3944</v>
      </c>
      <c r="B8" s="51" t="n">
        <v>4</v>
      </c>
      <c r="C8" s="52" t="s">
        <v>3945</v>
      </c>
      <c r="D8" s="53" t="s">
        <v>3946</v>
      </c>
      <c r="E8" s="54" t="s">
        <v>3947</v>
      </c>
      <c r="F8" s="54" t="s">
        <v>3132</v>
      </c>
      <c r="G8" s="54" t="s">
        <v>3948</v>
      </c>
      <c r="H8" s="54" t="s">
        <v>3949</v>
      </c>
      <c r="I8" s="53" t="s">
        <v>3950</v>
      </c>
      <c r="J8" s="54" t="s">
        <v>3951</v>
      </c>
      <c r="K8" s="53" t="s">
        <v>3952</v>
      </c>
      <c r="L8" s="55" t="s">
        <v>8</v>
      </c>
      <c r="M8" s="72" t="n">
        <v>7</v>
      </c>
      <c r="N8" s="73" t="s">
        <v>3923</v>
      </c>
      <c r="O8" s="59" t="s">
        <v>161</v>
      </c>
      <c r="P8" s="54"/>
      <c r="Q8" s="54" t="s">
        <v>131</v>
      </c>
      <c r="R8" s="58" t="s">
        <v>132</v>
      </c>
      <c r="S8" s="54" t="s">
        <v>98</v>
      </c>
    </row>
    <row r="9" customFormat="false" ht="35.05" hidden="false" customHeight="false" outlineLevel="0" collapsed="false">
      <c r="A9" s="51" t="s">
        <v>3953</v>
      </c>
      <c r="B9" s="51" t="n">
        <v>5</v>
      </c>
      <c r="C9" s="52" t="s">
        <v>3954</v>
      </c>
      <c r="D9" s="53" t="s">
        <v>3955</v>
      </c>
      <c r="E9" s="54" t="s">
        <v>3956</v>
      </c>
      <c r="F9" s="54" t="s">
        <v>3917</v>
      </c>
      <c r="G9" s="54" t="s">
        <v>3957</v>
      </c>
      <c r="H9" s="54" t="s">
        <v>3958</v>
      </c>
      <c r="I9" s="53" t="s">
        <v>3959</v>
      </c>
      <c r="J9" s="54" t="s">
        <v>3960</v>
      </c>
      <c r="K9" s="53" t="s">
        <v>3961</v>
      </c>
      <c r="L9" s="55" t="s">
        <v>8</v>
      </c>
      <c r="M9" s="72" t="n">
        <v>7</v>
      </c>
      <c r="N9" s="73" t="s">
        <v>3923</v>
      </c>
      <c r="O9" s="59" t="s">
        <v>161</v>
      </c>
      <c r="P9" s="54" t="s">
        <v>3962</v>
      </c>
      <c r="Q9" s="54" t="s">
        <v>131</v>
      </c>
      <c r="R9" s="58" t="s">
        <v>132</v>
      </c>
      <c r="S9" s="54" t="s">
        <v>98</v>
      </c>
    </row>
    <row r="10" customFormat="false" ht="35.05" hidden="false" customHeight="false" outlineLevel="0" collapsed="false">
      <c r="A10" s="51" t="s">
        <v>3963</v>
      </c>
      <c r="B10" s="51" t="n">
        <v>6</v>
      </c>
      <c r="C10" s="52" t="s">
        <v>3964</v>
      </c>
      <c r="D10" s="53" t="s">
        <v>3965</v>
      </c>
      <c r="E10" s="54" t="s">
        <v>3966</v>
      </c>
      <c r="F10" s="54" t="s">
        <v>3917</v>
      </c>
      <c r="G10" s="54" t="s">
        <v>3967</v>
      </c>
      <c r="H10" s="54" t="s">
        <v>3968</v>
      </c>
      <c r="I10" s="53" t="s">
        <v>3969</v>
      </c>
      <c r="J10" s="54" t="s">
        <v>3970</v>
      </c>
      <c r="K10" s="53" t="s">
        <v>3971</v>
      </c>
      <c r="L10" s="55" t="s">
        <v>8</v>
      </c>
      <c r="M10" s="72" t="n">
        <v>7</v>
      </c>
      <c r="N10" s="73" t="s">
        <v>3923</v>
      </c>
      <c r="O10" s="51" t="s">
        <v>95</v>
      </c>
      <c r="P10" s="54"/>
      <c r="Q10" s="54" t="s">
        <v>131</v>
      </c>
      <c r="R10" s="58" t="s">
        <v>132</v>
      </c>
      <c r="S10" s="54" t="s">
        <v>98</v>
      </c>
    </row>
    <row r="11" customFormat="false" ht="35.05" hidden="false" customHeight="false" outlineLevel="0" collapsed="false">
      <c r="A11" s="51" t="s">
        <v>3972</v>
      </c>
      <c r="B11" s="51" t="n">
        <v>7</v>
      </c>
      <c r="C11" s="52" t="s">
        <v>3973</v>
      </c>
      <c r="D11" s="53" t="s">
        <v>3974</v>
      </c>
      <c r="E11" s="54" t="s">
        <v>3975</v>
      </c>
      <c r="F11" s="54" t="s">
        <v>3917</v>
      </c>
      <c r="G11" s="54" t="s">
        <v>3976</v>
      </c>
      <c r="H11" s="54" t="s">
        <v>3977</v>
      </c>
      <c r="I11" s="53" t="s">
        <v>3978</v>
      </c>
      <c r="J11" s="54" t="s">
        <v>3979</v>
      </c>
      <c r="K11" s="53" t="s">
        <v>3980</v>
      </c>
      <c r="L11" s="55" t="s">
        <v>8</v>
      </c>
      <c r="M11" s="72" t="n">
        <v>7</v>
      </c>
      <c r="N11" s="73" t="s">
        <v>3923</v>
      </c>
      <c r="O11" s="59" t="s">
        <v>161</v>
      </c>
      <c r="P11" s="54" t="s">
        <v>3924</v>
      </c>
      <c r="Q11" s="54" t="s">
        <v>131</v>
      </c>
      <c r="R11" s="58" t="s">
        <v>132</v>
      </c>
      <c r="S11" s="54" t="s">
        <v>98</v>
      </c>
    </row>
    <row r="12" customFormat="false" ht="35.05" hidden="false" customHeight="false" outlineLevel="0" collapsed="false">
      <c r="A12" s="51" t="s">
        <v>3981</v>
      </c>
      <c r="B12" s="51" t="n">
        <v>8</v>
      </c>
      <c r="C12" s="52" t="s">
        <v>3982</v>
      </c>
      <c r="D12" s="53" t="s">
        <v>3983</v>
      </c>
      <c r="E12" s="54" t="s">
        <v>3984</v>
      </c>
      <c r="F12" s="54" t="s">
        <v>125</v>
      </c>
      <c r="G12" s="54" t="s">
        <v>3985</v>
      </c>
      <c r="H12" s="54" t="s">
        <v>3986</v>
      </c>
      <c r="I12" s="53" t="s">
        <v>3987</v>
      </c>
      <c r="J12" s="54" t="s">
        <v>3988</v>
      </c>
      <c r="K12" s="53" t="s">
        <v>3989</v>
      </c>
      <c r="L12" s="60" t="s">
        <v>9</v>
      </c>
      <c r="M12" s="72" t="n">
        <v>7</v>
      </c>
      <c r="N12" s="73" t="s">
        <v>3923</v>
      </c>
      <c r="O12" s="59" t="s">
        <v>161</v>
      </c>
      <c r="P12" s="54" t="s">
        <v>3990</v>
      </c>
      <c r="Q12" s="54" t="s">
        <v>516</v>
      </c>
      <c r="R12" s="58" t="s">
        <v>517</v>
      </c>
      <c r="S12" s="54" t="s">
        <v>98</v>
      </c>
    </row>
    <row r="13" customFormat="false" ht="35.05" hidden="false" customHeight="false" outlineLevel="0" collapsed="false">
      <c r="A13" s="51" t="s">
        <v>3991</v>
      </c>
      <c r="B13" s="51" t="n">
        <v>9</v>
      </c>
      <c r="C13" s="52" t="s">
        <v>3992</v>
      </c>
      <c r="D13" s="53" t="s">
        <v>3993</v>
      </c>
      <c r="E13" s="54" t="s">
        <v>3994</v>
      </c>
      <c r="F13" s="54" t="s">
        <v>3917</v>
      </c>
      <c r="G13" s="54" t="s">
        <v>3995</v>
      </c>
      <c r="H13" s="54" t="s">
        <v>3996</v>
      </c>
      <c r="I13" s="53" t="s">
        <v>3997</v>
      </c>
      <c r="J13" s="54" t="s">
        <v>3998</v>
      </c>
      <c r="K13" s="53" t="s">
        <v>3999</v>
      </c>
      <c r="L13" s="60" t="s">
        <v>9</v>
      </c>
      <c r="M13" s="72" t="n">
        <v>7</v>
      </c>
      <c r="N13" s="73" t="s">
        <v>3923</v>
      </c>
      <c r="O13" s="51" t="s">
        <v>95</v>
      </c>
      <c r="P13" s="54"/>
      <c r="Q13" s="54" t="s">
        <v>131</v>
      </c>
      <c r="R13" s="58" t="s">
        <v>132</v>
      </c>
      <c r="S13" s="54" t="s">
        <v>98</v>
      </c>
    </row>
    <row r="14" customFormat="false" ht="35.05" hidden="false" customHeight="false" outlineLevel="0" collapsed="false">
      <c r="A14" s="51" t="s">
        <v>4000</v>
      </c>
      <c r="B14" s="51" t="n">
        <v>10</v>
      </c>
      <c r="C14" s="52" t="s">
        <v>4001</v>
      </c>
      <c r="D14" s="53" t="s">
        <v>4002</v>
      </c>
      <c r="E14" s="54" t="s">
        <v>4003</v>
      </c>
      <c r="F14" s="54" t="s">
        <v>3917</v>
      </c>
      <c r="G14" s="54" t="s">
        <v>4004</v>
      </c>
      <c r="H14" s="54" t="s">
        <v>4005</v>
      </c>
      <c r="I14" s="53" t="s">
        <v>4006</v>
      </c>
      <c r="J14" s="54" t="s">
        <v>4007</v>
      </c>
      <c r="K14" s="53" t="s">
        <v>4008</v>
      </c>
      <c r="L14" s="60" t="s">
        <v>9</v>
      </c>
      <c r="M14" s="72" t="n">
        <v>7</v>
      </c>
      <c r="N14" s="73" t="s">
        <v>3923</v>
      </c>
      <c r="O14" s="51" t="s">
        <v>95</v>
      </c>
      <c r="P14" s="54"/>
      <c r="Q14" s="54" t="s">
        <v>131</v>
      </c>
      <c r="R14" s="58" t="s">
        <v>132</v>
      </c>
      <c r="S14" s="54" t="s">
        <v>98</v>
      </c>
    </row>
    <row r="15" customFormat="false" ht="35.05" hidden="false" customHeight="false" outlineLevel="0" collapsed="false">
      <c r="A15" s="51" t="s">
        <v>4009</v>
      </c>
      <c r="B15" s="51" t="n">
        <v>11</v>
      </c>
      <c r="C15" s="52" t="s">
        <v>4010</v>
      </c>
      <c r="D15" s="53" t="s">
        <v>4011</v>
      </c>
      <c r="E15" s="54" t="s">
        <v>4012</v>
      </c>
      <c r="F15" s="54" t="s">
        <v>3917</v>
      </c>
      <c r="G15" s="54" t="s">
        <v>4013</v>
      </c>
      <c r="H15" s="54" t="s">
        <v>4014</v>
      </c>
      <c r="I15" s="53" t="s">
        <v>4015</v>
      </c>
      <c r="J15" s="54" t="s">
        <v>4016</v>
      </c>
      <c r="K15" s="53" t="s">
        <v>4017</v>
      </c>
      <c r="L15" s="60" t="s">
        <v>9</v>
      </c>
      <c r="M15" s="72" t="n">
        <v>7</v>
      </c>
      <c r="N15" s="73" t="s">
        <v>3923</v>
      </c>
      <c r="O15" s="59" t="s">
        <v>161</v>
      </c>
      <c r="P15" s="54" t="s">
        <v>4018</v>
      </c>
      <c r="Q15" s="54" t="s">
        <v>131</v>
      </c>
      <c r="R15" s="58" t="s">
        <v>132</v>
      </c>
      <c r="S15" s="54" t="s">
        <v>98</v>
      </c>
    </row>
    <row r="16" customFormat="false" ht="35.05" hidden="false" customHeight="false" outlineLevel="0" collapsed="false">
      <c r="A16" s="51" t="s">
        <v>4019</v>
      </c>
      <c r="B16" s="51" t="n">
        <v>12</v>
      </c>
      <c r="C16" s="52" t="s">
        <v>4020</v>
      </c>
      <c r="D16" s="53" t="s">
        <v>4021</v>
      </c>
      <c r="E16" s="54" t="s">
        <v>4022</v>
      </c>
      <c r="F16" s="54" t="s">
        <v>176</v>
      </c>
      <c r="G16" s="54" t="s">
        <v>4023</v>
      </c>
      <c r="H16" s="54" t="s">
        <v>4024</v>
      </c>
      <c r="I16" s="53" t="s">
        <v>4025</v>
      </c>
      <c r="J16" s="54" t="s">
        <v>4026</v>
      </c>
      <c r="K16" s="53" t="s">
        <v>4027</v>
      </c>
      <c r="L16" s="60" t="s">
        <v>9</v>
      </c>
      <c r="M16" s="72" t="n">
        <v>7</v>
      </c>
      <c r="N16" s="73" t="s">
        <v>3923</v>
      </c>
      <c r="O16" s="51" t="s">
        <v>95</v>
      </c>
      <c r="P16" s="54"/>
      <c r="Q16" s="54" t="s">
        <v>131</v>
      </c>
      <c r="R16" s="58" t="s">
        <v>132</v>
      </c>
      <c r="S16" s="54" t="s">
        <v>98</v>
      </c>
    </row>
    <row r="17" customFormat="false" ht="35.05" hidden="false" customHeight="false" outlineLevel="0" collapsed="false">
      <c r="A17" s="51" t="s">
        <v>4028</v>
      </c>
      <c r="B17" s="51" t="n">
        <v>13</v>
      </c>
      <c r="C17" s="52" t="s">
        <v>4029</v>
      </c>
      <c r="D17" s="53" t="s">
        <v>4030</v>
      </c>
      <c r="E17" s="54" t="s">
        <v>4031</v>
      </c>
      <c r="F17" s="54" t="s">
        <v>3917</v>
      </c>
      <c r="G17" s="54" t="s">
        <v>4032</v>
      </c>
      <c r="H17" s="54" t="s">
        <v>4033</v>
      </c>
      <c r="I17" s="53" t="s">
        <v>4034</v>
      </c>
      <c r="J17" s="54" t="s">
        <v>4035</v>
      </c>
      <c r="K17" s="53" t="s">
        <v>4036</v>
      </c>
      <c r="L17" s="61" t="s">
        <v>10</v>
      </c>
      <c r="M17" s="72" t="n">
        <v>7</v>
      </c>
      <c r="N17" s="73" t="s">
        <v>3923</v>
      </c>
      <c r="O17" s="51" t="s">
        <v>95</v>
      </c>
      <c r="P17" s="54"/>
      <c r="Q17" s="54" t="s">
        <v>131</v>
      </c>
      <c r="R17" s="58" t="s">
        <v>132</v>
      </c>
      <c r="S17" s="54" t="s">
        <v>98</v>
      </c>
    </row>
    <row r="18" customFormat="false" ht="35.05" hidden="false" customHeight="false" outlineLevel="0" collapsed="false">
      <c r="A18" s="51" t="s">
        <v>4037</v>
      </c>
      <c r="B18" s="51" t="n">
        <v>14</v>
      </c>
      <c r="C18" s="52" t="s">
        <v>4038</v>
      </c>
      <c r="D18" s="53" t="s">
        <v>4039</v>
      </c>
      <c r="E18" s="54" t="s">
        <v>4040</v>
      </c>
      <c r="F18" s="54" t="s">
        <v>88</v>
      </c>
      <c r="G18" s="54" t="s">
        <v>4041</v>
      </c>
      <c r="H18" s="54" t="s">
        <v>4042</v>
      </c>
      <c r="I18" s="53" t="s">
        <v>4043</v>
      </c>
      <c r="J18" s="54" t="s">
        <v>4044</v>
      </c>
      <c r="K18" s="53" t="s">
        <v>4045</v>
      </c>
      <c r="L18" s="61" t="s">
        <v>10</v>
      </c>
      <c r="M18" s="72" t="n">
        <v>7</v>
      </c>
      <c r="N18" s="73" t="s">
        <v>3923</v>
      </c>
      <c r="O18" s="59" t="s">
        <v>161</v>
      </c>
      <c r="P18" s="54" t="s">
        <v>1235</v>
      </c>
      <c r="Q18" s="54" t="s">
        <v>131</v>
      </c>
      <c r="R18" s="58" t="s">
        <v>132</v>
      </c>
      <c r="S18" s="54" t="s">
        <v>98</v>
      </c>
    </row>
    <row r="19" customFormat="false" ht="35.05" hidden="false" customHeight="false" outlineLevel="0" collapsed="false">
      <c r="A19" s="51" t="s">
        <v>4046</v>
      </c>
      <c r="B19" s="51" t="n">
        <v>15</v>
      </c>
      <c r="C19" s="52" t="s">
        <v>4047</v>
      </c>
      <c r="D19" s="53" t="s">
        <v>4048</v>
      </c>
      <c r="E19" s="54" t="s">
        <v>4049</v>
      </c>
      <c r="F19" s="54" t="s">
        <v>2029</v>
      </c>
      <c r="G19" s="54" t="s">
        <v>4050</v>
      </c>
      <c r="H19" s="54" t="s">
        <v>4051</v>
      </c>
      <c r="I19" s="53" t="s">
        <v>4052</v>
      </c>
      <c r="J19" s="54" t="s">
        <v>4053</v>
      </c>
      <c r="K19" s="53" t="s">
        <v>4054</v>
      </c>
      <c r="L19" s="61" t="s">
        <v>10</v>
      </c>
      <c r="M19" s="72" t="n">
        <v>7</v>
      </c>
      <c r="N19" s="73" t="s">
        <v>3923</v>
      </c>
      <c r="O19" s="51" t="s">
        <v>95</v>
      </c>
      <c r="P19" s="54"/>
      <c r="Q19" s="54" t="s">
        <v>516</v>
      </c>
      <c r="R19" s="58" t="s">
        <v>517</v>
      </c>
      <c r="S19" s="54" t="s">
        <v>98</v>
      </c>
    </row>
    <row r="20" customFormat="false" ht="35.05" hidden="false" customHeight="false" outlineLevel="0" collapsed="false">
      <c r="A20" s="51" t="s">
        <v>4055</v>
      </c>
      <c r="B20" s="51" t="n">
        <v>16</v>
      </c>
      <c r="C20" s="52" t="s">
        <v>4056</v>
      </c>
      <c r="D20" s="53" t="s">
        <v>4057</v>
      </c>
      <c r="E20" s="54" t="s">
        <v>4058</v>
      </c>
      <c r="F20" s="54" t="s">
        <v>27</v>
      </c>
      <c r="G20" s="54" t="s">
        <v>4059</v>
      </c>
      <c r="H20" s="54" t="s">
        <v>4060</v>
      </c>
      <c r="I20" s="53" t="s">
        <v>4061</v>
      </c>
      <c r="J20" s="54" t="s">
        <v>4062</v>
      </c>
      <c r="K20" s="53" t="s">
        <v>4063</v>
      </c>
      <c r="L20" s="61" t="s">
        <v>10</v>
      </c>
      <c r="M20" s="72" t="n">
        <v>7</v>
      </c>
      <c r="N20" s="73" t="s">
        <v>3923</v>
      </c>
      <c r="O20" s="59" t="s">
        <v>161</v>
      </c>
      <c r="P20" s="54" t="s">
        <v>2864</v>
      </c>
      <c r="Q20" s="54" t="s">
        <v>516</v>
      </c>
      <c r="R20" s="58" t="s">
        <v>517</v>
      </c>
      <c r="S20" s="54" t="s">
        <v>98</v>
      </c>
    </row>
  </sheetData>
  <autoFilter ref="A4:S20"/>
  <mergeCells count="2">
    <mergeCell ref="A1:S1"/>
    <mergeCell ref="A2:S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4C41"/>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2"/>
    <col collapsed="false" customWidth="true" hidden="false" outlineLevel="0" max="3" min="3" style="0" width="40"/>
    <col collapsed="false" customWidth="true" hidden="false" outlineLevel="0" max="5" min="4" style="0" width="62"/>
    <col collapsed="false" customWidth="true" hidden="false" outlineLevel="0" max="6" min="6" style="0" width="36"/>
    <col collapsed="false" customWidth="true" hidden="false" outlineLevel="0" max="7" min="7" style="0" width="30"/>
    <col collapsed="false" customWidth="true" hidden="false" outlineLevel="0" max="8" min="8" style="0" width="14"/>
  </cols>
  <sheetData>
    <row r="1" customFormat="false" ht="17.15" hidden="false" customHeight="false" outlineLevel="0" collapsed="false">
      <c r="A1" s="1" t="s">
        <v>4078</v>
      </c>
      <c r="B1" s="1"/>
      <c r="C1" s="1"/>
      <c r="D1" s="1"/>
      <c r="E1" s="1"/>
      <c r="F1" s="1"/>
      <c r="G1" s="1"/>
      <c r="H1" s="1"/>
    </row>
    <row r="2" customFormat="false" ht="15" hidden="false" customHeight="false" outlineLevel="0" collapsed="false">
      <c r="A2" s="2" t="s">
        <v>4079</v>
      </c>
      <c r="B2" s="2"/>
      <c r="C2" s="2"/>
      <c r="D2" s="2"/>
      <c r="E2" s="2"/>
      <c r="F2" s="2"/>
      <c r="G2" s="2"/>
      <c r="H2" s="2"/>
    </row>
    <row r="4" customFormat="false" ht="30" hidden="false" customHeight="true" outlineLevel="0" collapsed="false">
      <c r="A4" s="3" t="s">
        <v>50</v>
      </c>
      <c r="B4" s="3" t="s">
        <v>4080</v>
      </c>
      <c r="C4" s="3" t="s">
        <v>4081</v>
      </c>
      <c r="D4" s="3" t="s">
        <v>4082</v>
      </c>
      <c r="E4" s="3" t="s">
        <v>4083</v>
      </c>
      <c r="F4" s="3" t="s">
        <v>4084</v>
      </c>
      <c r="G4" s="3" t="s">
        <v>4085</v>
      </c>
      <c r="H4" s="3" t="s">
        <v>4086</v>
      </c>
    </row>
    <row r="5" customFormat="false" ht="35.05" hidden="false" customHeight="false" outlineLevel="0" collapsed="false">
      <c r="A5" s="74" t="s">
        <v>1030</v>
      </c>
      <c r="B5" s="75" t="s">
        <v>4087</v>
      </c>
      <c r="C5" s="76" t="s">
        <v>4088</v>
      </c>
      <c r="D5" s="77" t="s">
        <v>4089</v>
      </c>
      <c r="E5" s="76" t="s">
        <v>4090</v>
      </c>
      <c r="F5" s="77" t="s">
        <v>4091</v>
      </c>
      <c r="G5" s="77" t="s">
        <v>4092</v>
      </c>
      <c r="H5" s="78" t="s">
        <v>8</v>
      </c>
    </row>
    <row r="6" customFormat="false" ht="35.05" hidden="false" customHeight="false" outlineLevel="0" collapsed="false">
      <c r="A6" s="74" t="s">
        <v>162</v>
      </c>
      <c r="B6" s="75" t="s">
        <v>4093</v>
      </c>
      <c r="C6" s="76" t="s">
        <v>4094</v>
      </c>
      <c r="D6" s="77" t="s">
        <v>4095</v>
      </c>
      <c r="E6" s="76" t="s">
        <v>4096</v>
      </c>
      <c r="F6" s="77" t="s">
        <v>4097</v>
      </c>
      <c r="G6" s="77" t="s">
        <v>4098</v>
      </c>
      <c r="H6" s="78" t="s">
        <v>8</v>
      </c>
    </row>
    <row r="7" customFormat="false" ht="35.05" hidden="false" customHeight="false" outlineLevel="0" collapsed="false">
      <c r="A7" s="74" t="s">
        <v>1040</v>
      </c>
      <c r="B7" s="75" t="s">
        <v>4099</v>
      </c>
      <c r="C7" s="76" t="s">
        <v>4100</v>
      </c>
      <c r="D7" s="77" t="s">
        <v>4101</v>
      </c>
      <c r="E7" s="76" t="s">
        <v>4102</v>
      </c>
      <c r="F7" s="77" t="s">
        <v>4103</v>
      </c>
      <c r="G7" s="77" t="s">
        <v>4104</v>
      </c>
      <c r="H7" s="78" t="s">
        <v>8</v>
      </c>
    </row>
    <row r="8" customFormat="false" ht="35.05" hidden="false" customHeight="false" outlineLevel="0" collapsed="false">
      <c r="A8" s="74" t="s">
        <v>1307</v>
      </c>
      <c r="B8" s="75" t="s">
        <v>4105</v>
      </c>
      <c r="C8" s="76" t="s">
        <v>4106</v>
      </c>
      <c r="D8" s="77" t="s">
        <v>4107</v>
      </c>
      <c r="E8" s="76" t="s">
        <v>4108</v>
      </c>
      <c r="F8" s="77" t="s">
        <v>4109</v>
      </c>
      <c r="G8" s="77" t="s">
        <v>4110</v>
      </c>
      <c r="H8" s="79" t="s">
        <v>9</v>
      </c>
    </row>
    <row r="9" customFormat="false" ht="35.05" hidden="false" customHeight="false" outlineLevel="0" collapsed="false">
      <c r="A9" s="74" t="s">
        <v>2082</v>
      </c>
      <c r="B9" s="75" t="s">
        <v>4111</v>
      </c>
      <c r="C9" s="76" t="s">
        <v>4112</v>
      </c>
      <c r="D9" s="77" t="s">
        <v>4113</v>
      </c>
      <c r="E9" s="76" t="s">
        <v>4114</v>
      </c>
      <c r="F9" s="77" t="s">
        <v>4115</v>
      </c>
      <c r="G9" s="77" t="s">
        <v>4116</v>
      </c>
      <c r="H9" s="79" t="s">
        <v>9</v>
      </c>
    </row>
    <row r="10" customFormat="false" ht="46.25" hidden="false" customHeight="false" outlineLevel="0" collapsed="false">
      <c r="A10" s="74" t="s">
        <v>2175</v>
      </c>
      <c r="B10" s="75" t="s">
        <v>4117</v>
      </c>
      <c r="C10" s="76" t="s">
        <v>4118</v>
      </c>
      <c r="D10" s="77" t="s">
        <v>4119</v>
      </c>
      <c r="E10" s="76" t="s">
        <v>4120</v>
      </c>
      <c r="F10" s="77" t="s">
        <v>4121</v>
      </c>
      <c r="G10" s="77" t="s">
        <v>4122</v>
      </c>
      <c r="H10" s="79" t="s">
        <v>9</v>
      </c>
    </row>
    <row r="11" customFormat="false" ht="46.25" hidden="false" customHeight="false" outlineLevel="0" collapsed="false">
      <c r="A11" s="74" t="s">
        <v>2432</v>
      </c>
      <c r="B11" s="75" t="s">
        <v>4123</v>
      </c>
      <c r="C11" s="76" t="s">
        <v>4124</v>
      </c>
      <c r="D11" s="77" t="s">
        <v>4125</v>
      </c>
      <c r="E11" s="76" t="s">
        <v>4126</v>
      </c>
      <c r="F11" s="77" t="s">
        <v>4127</v>
      </c>
      <c r="G11" s="77" t="s">
        <v>4128</v>
      </c>
      <c r="H11" s="79" t="s">
        <v>9</v>
      </c>
    </row>
    <row r="12" customFormat="false" ht="35.05" hidden="false" customHeight="false" outlineLevel="0" collapsed="false">
      <c r="A12" s="74" t="s">
        <v>1416</v>
      </c>
      <c r="B12" s="75" t="s">
        <v>4129</v>
      </c>
      <c r="C12" s="76" t="s">
        <v>4130</v>
      </c>
      <c r="D12" s="77" t="s">
        <v>4131</v>
      </c>
      <c r="E12" s="76" t="s">
        <v>4132</v>
      </c>
      <c r="F12" s="77" t="s">
        <v>4133</v>
      </c>
      <c r="G12" s="77" t="s">
        <v>4134</v>
      </c>
      <c r="H12" s="80" t="s">
        <v>10</v>
      </c>
    </row>
    <row r="13" customFormat="false" ht="46.25" hidden="false" customHeight="false" outlineLevel="0" collapsed="false">
      <c r="A13" s="74" t="s">
        <v>1770</v>
      </c>
      <c r="B13" s="75" t="s">
        <v>4135</v>
      </c>
      <c r="C13" s="76" t="s">
        <v>4136</v>
      </c>
      <c r="D13" s="77" t="s">
        <v>4137</v>
      </c>
      <c r="E13" s="76" t="s">
        <v>4138</v>
      </c>
      <c r="F13" s="77" t="s">
        <v>4139</v>
      </c>
      <c r="G13" s="77" t="s">
        <v>4140</v>
      </c>
      <c r="H13" s="80" t="s">
        <v>10</v>
      </c>
    </row>
    <row r="14" customFormat="false" ht="35.05" hidden="false" customHeight="false" outlineLevel="0" collapsed="false">
      <c r="A14" s="74" t="s">
        <v>3184</v>
      </c>
      <c r="B14" s="75" t="s">
        <v>4141</v>
      </c>
      <c r="C14" s="76" t="s">
        <v>4142</v>
      </c>
      <c r="D14" s="77" t="s">
        <v>4143</v>
      </c>
      <c r="E14" s="76" t="s">
        <v>4144</v>
      </c>
      <c r="F14" s="77" t="s">
        <v>4145</v>
      </c>
      <c r="G14" s="77" t="s">
        <v>4146</v>
      </c>
      <c r="H14" s="78" t="s">
        <v>8</v>
      </c>
    </row>
    <row r="15" customFormat="false" ht="35.05" hidden="false" customHeight="false" outlineLevel="0" collapsed="false">
      <c r="A15" s="74" t="s">
        <v>2809</v>
      </c>
      <c r="B15" s="75" t="s">
        <v>4147</v>
      </c>
      <c r="C15" s="76" t="s">
        <v>4148</v>
      </c>
      <c r="D15" s="77" t="s">
        <v>4149</v>
      </c>
      <c r="E15" s="76" t="s">
        <v>4150</v>
      </c>
      <c r="F15" s="77" t="s">
        <v>4151</v>
      </c>
      <c r="G15" s="77" t="s">
        <v>4152</v>
      </c>
      <c r="H15" s="79" t="s">
        <v>9</v>
      </c>
    </row>
    <row r="16" customFormat="false" ht="35.05" hidden="false" customHeight="false" outlineLevel="0" collapsed="false">
      <c r="A16" s="74" t="s">
        <v>3658</v>
      </c>
      <c r="B16" s="75" t="s">
        <v>4153</v>
      </c>
      <c r="C16" s="76" t="s">
        <v>4154</v>
      </c>
      <c r="D16" s="77" t="s">
        <v>4155</v>
      </c>
      <c r="E16" s="76" t="s">
        <v>4156</v>
      </c>
      <c r="F16" s="77" t="s">
        <v>4157</v>
      </c>
      <c r="G16" s="77" t="s">
        <v>4158</v>
      </c>
      <c r="H16" s="78" t="s">
        <v>8</v>
      </c>
    </row>
    <row r="17" customFormat="false" ht="23.85" hidden="false" customHeight="false" outlineLevel="0" collapsed="false">
      <c r="A17" s="74" t="s">
        <v>4159</v>
      </c>
      <c r="B17" s="75" t="s">
        <v>4160</v>
      </c>
      <c r="C17" s="76" t="s">
        <v>4161</v>
      </c>
      <c r="D17" s="77" t="s">
        <v>4162</v>
      </c>
      <c r="E17" s="76" t="s">
        <v>4163</v>
      </c>
      <c r="F17" s="77" t="s">
        <v>4164</v>
      </c>
      <c r="G17" s="77" t="s">
        <v>4165</v>
      </c>
      <c r="H17" s="79" t="s">
        <v>9</v>
      </c>
    </row>
    <row r="18" customFormat="false" ht="35.05" hidden="false" customHeight="false" outlineLevel="0" collapsed="false">
      <c r="A18" s="74" t="s">
        <v>620</v>
      </c>
      <c r="B18" s="75" t="s">
        <v>4166</v>
      </c>
      <c r="C18" s="76" t="s">
        <v>4167</v>
      </c>
      <c r="D18" s="77" t="s">
        <v>4168</v>
      </c>
      <c r="E18" s="76" t="s">
        <v>4169</v>
      </c>
      <c r="F18" s="77" t="s">
        <v>4170</v>
      </c>
      <c r="G18" s="77" t="s">
        <v>4171</v>
      </c>
      <c r="H18" s="78" t="s">
        <v>8</v>
      </c>
    </row>
    <row r="19" customFormat="false" ht="35.05" hidden="false" customHeight="false" outlineLevel="0" collapsed="false">
      <c r="A19" s="74" t="s">
        <v>2204</v>
      </c>
      <c r="B19" s="75" t="s">
        <v>4172</v>
      </c>
      <c r="C19" s="76" t="s">
        <v>4173</v>
      </c>
      <c r="D19" s="77" t="s">
        <v>4174</v>
      </c>
      <c r="E19" s="76" t="s">
        <v>4175</v>
      </c>
      <c r="F19" s="77" t="s">
        <v>4176</v>
      </c>
      <c r="G19" s="77" t="s">
        <v>4177</v>
      </c>
      <c r="H19" s="78" t="s">
        <v>8</v>
      </c>
    </row>
    <row r="20" customFormat="false" ht="23.85" hidden="false" customHeight="false" outlineLevel="0" collapsed="false">
      <c r="A20" s="74" t="s">
        <v>4178</v>
      </c>
      <c r="B20" s="75" t="s">
        <v>4179</v>
      </c>
      <c r="C20" s="76" t="s">
        <v>4180</v>
      </c>
      <c r="D20" s="77" t="s">
        <v>4181</v>
      </c>
      <c r="E20" s="76" t="s">
        <v>4182</v>
      </c>
      <c r="F20" s="77" t="s">
        <v>4183</v>
      </c>
      <c r="G20" s="77" t="s">
        <v>4184</v>
      </c>
      <c r="H20" s="79" t="s">
        <v>9</v>
      </c>
    </row>
    <row r="21" customFormat="false" ht="35.05" hidden="false" customHeight="false" outlineLevel="0" collapsed="false">
      <c r="A21" s="74" t="s">
        <v>4185</v>
      </c>
      <c r="B21" s="75" t="s">
        <v>4186</v>
      </c>
      <c r="C21" s="76" t="s">
        <v>4187</v>
      </c>
      <c r="D21" s="77" t="s">
        <v>4188</v>
      </c>
      <c r="E21" s="76" t="s">
        <v>4189</v>
      </c>
      <c r="F21" s="77" t="s">
        <v>4190</v>
      </c>
      <c r="G21" s="77" t="s">
        <v>4191</v>
      </c>
      <c r="H21" s="78" t="s">
        <v>8</v>
      </c>
    </row>
    <row r="22" customFormat="false" ht="35.05" hidden="false" customHeight="false" outlineLevel="0" collapsed="false">
      <c r="A22" s="74" t="s">
        <v>2752</v>
      </c>
      <c r="B22" s="75" t="s">
        <v>4192</v>
      </c>
      <c r="C22" s="76" t="s">
        <v>4193</v>
      </c>
      <c r="D22" s="77" t="s">
        <v>4194</v>
      </c>
      <c r="E22" s="76" t="s">
        <v>4195</v>
      </c>
      <c r="F22" s="77" t="s">
        <v>4196</v>
      </c>
      <c r="G22" s="77" t="s">
        <v>4197</v>
      </c>
      <c r="H22" s="79" t="s">
        <v>9</v>
      </c>
    </row>
    <row r="23" customFormat="false" ht="35.05" hidden="false" customHeight="false" outlineLevel="0" collapsed="false">
      <c r="A23" s="74" t="s">
        <v>3585</v>
      </c>
      <c r="B23" s="75" t="s">
        <v>4198</v>
      </c>
      <c r="C23" s="76" t="s">
        <v>4199</v>
      </c>
      <c r="D23" s="77" t="s">
        <v>4200</v>
      </c>
      <c r="E23" s="76" t="s">
        <v>4201</v>
      </c>
      <c r="F23" s="77" t="s">
        <v>4202</v>
      </c>
      <c r="G23" s="77" t="s">
        <v>4203</v>
      </c>
      <c r="H23" s="78" t="s">
        <v>8</v>
      </c>
    </row>
    <row r="24" customFormat="false" ht="35.05" hidden="false" customHeight="false" outlineLevel="0" collapsed="false">
      <c r="A24" s="74" t="s">
        <v>3962</v>
      </c>
      <c r="B24" s="75" t="s">
        <v>4204</v>
      </c>
      <c r="C24" s="76" t="s">
        <v>4205</v>
      </c>
      <c r="D24" s="77" t="s">
        <v>4206</v>
      </c>
      <c r="E24" s="76" t="s">
        <v>4207</v>
      </c>
      <c r="F24" s="77" t="s">
        <v>4208</v>
      </c>
      <c r="G24" s="77" t="s">
        <v>4209</v>
      </c>
      <c r="H24" s="79" t="s">
        <v>9</v>
      </c>
    </row>
    <row r="25" customFormat="false" ht="35.05" hidden="false" customHeight="false" outlineLevel="0" collapsed="false">
      <c r="A25" s="74" t="s">
        <v>4018</v>
      </c>
      <c r="B25" s="75" t="s">
        <v>4210</v>
      </c>
      <c r="C25" s="76" t="s">
        <v>4211</v>
      </c>
      <c r="D25" s="77" t="s">
        <v>4212</v>
      </c>
      <c r="E25" s="76" t="s">
        <v>4213</v>
      </c>
      <c r="F25" s="77" t="s">
        <v>4214</v>
      </c>
      <c r="G25" s="77" t="s">
        <v>4215</v>
      </c>
      <c r="H25" s="78" t="s">
        <v>8</v>
      </c>
    </row>
  </sheetData>
  <autoFilter ref="A4:H25"/>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4C41"/>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32"/>
    <col collapsed="false" customWidth="true" hidden="false" outlineLevel="0" max="5" min="4" style="0" width="40"/>
    <col collapsed="false" customWidth="true" hidden="false" outlineLevel="0" max="7" min="6" style="0" width="52"/>
    <col collapsed="false" customWidth="true" hidden="false" outlineLevel="0" max="8" min="8" style="0" width="34"/>
    <col collapsed="false" customWidth="true" hidden="false" outlineLevel="0" max="9" min="9" style="0" width="30"/>
  </cols>
  <sheetData>
    <row r="1" customFormat="false" ht="17.15" hidden="false" customHeight="false" outlineLevel="0" collapsed="false">
      <c r="A1" s="1" t="s">
        <v>4216</v>
      </c>
      <c r="B1" s="1"/>
      <c r="C1" s="1"/>
      <c r="D1" s="1"/>
      <c r="E1" s="1"/>
      <c r="F1" s="1"/>
      <c r="G1" s="1"/>
      <c r="H1" s="1"/>
      <c r="I1" s="1"/>
    </row>
    <row r="2" customFormat="false" ht="15" hidden="false" customHeight="false" outlineLevel="0" collapsed="false">
      <c r="A2" s="2" t="s">
        <v>4217</v>
      </c>
      <c r="B2" s="2"/>
      <c r="C2" s="2"/>
      <c r="D2" s="2"/>
      <c r="E2" s="2"/>
      <c r="F2" s="2"/>
      <c r="G2" s="2"/>
      <c r="H2" s="2"/>
      <c r="I2" s="2"/>
    </row>
    <row r="4" customFormat="false" ht="30" hidden="false" customHeight="true" outlineLevel="0" collapsed="false">
      <c r="A4" s="3" t="s">
        <v>50</v>
      </c>
      <c r="B4" s="3" t="s">
        <v>4218</v>
      </c>
      <c r="C4" s="3" t="s">
        <v>4219</v>
      </c>
      <c r="D4" s="3" t="s">
        <v>4220</v>
      </c>
      <c r="E4" s="3" t="s">
        <v>4221</v>
      </c>
      <c r="F4" s="3" t="s">
        <v>4222</v>
      </c>
      <c r="G4" s="3" t="s">
        <v>4223</v>
      </c>
      <c r="H4" s="3" t="s">
        <v>4224</v>
      </c>
      <c r="I4" s="3" t="s">
        <v>4225</v>
      </c>
    </row>
    <row r="5" customFormat="false" ht="23.85" hidden="false" customHeight="false" outlineLevel="0" collapsed="false">
      <c r="A5" s="74" t="s">
        <v>4226</v>
      </c>
      <c r="B5" s="75" t="s">
        <v>4227</v>
      </c>
      <c r="C5" s="76" t="s">
        <v>4228</v>
      </c>
      <c r="D5" s="77" t="s">
        <v>4229</v>
      </c>
      <c r="E5" s="76" t="s">
        <v>4230</v>
      </c>
      <c r="F5" s="77" t="s">
        <v>4231</v>
      </c>
      <c r="G5" s="76" t="s">
        <v>4232</v>
      </c>
      <c r="H5" s="77" t="s">
        <v>4233</v>
      </c>
      <c r="I5" s="77" t="s">
        <v>4234</v>
      </c>
    </row>
    <row r="6" customFormat="false" ht="23.85" hidden="false" customHeight="false" outlineLevel="0" collapsed="false">
      <c r="A6" s="74" t="s">
        <v>1844</v>
      </c>
      <c r="B6" s="75" t="s">
        <v>4235</v>
      </c>
      <c r="C6" s="76" t="s">
        <v>4236</v>
      </c>
      <c r="D6" s="77" t="s">
        <v>4237</v>
      </c>
      <c r="E6" s="76" t="s">
        <v>4238</v>
      </c>
      <c r="F6" s="77" t="s">
        <v>4239</v>
      </c>
      <c r="G6" s="76" t="s">
        <v>4240</v>
      </c>
      <c r="H6" s="77" t="s">
        <v>4241</v>
      </c>
      <c r="I6" s="77" t="s">
        <v>4242</v>
      </c>
    </row>
    <row r="7" customFormat="false" ht="23.85" hidden="false" customHeight="false" outlineLevel="0" collapsed="false">
      <c r="A7" s="74" t="s">
        <v>3750</v>
      </c>
      <c r="B7" s="75" t="s">
        <v>4243</v>
      </c>
      <c r="C7" s="76" t="s">
        <v>4244</v>
      </c>
      <c r="D7" s="77" t="s">
        <v>4245</v>
      </c>
      <c r="E7" s="76" t="s">
        <v>4246</v>
      </c>
      <c r="F7" s="77" t="s">
        <v>4247</v>
      </c>
      <c r="G7" s="76" t="s">
        <v>4248</v>
      </c>
      <c r="H7" s="77" t="s">
        <v>4249</v>
      </c>
      <c r="I7" s="77" t="s">
        <v>4250</v>
      </c>
    </row>
    <row r="8" customFormat="false" ht="23.85" hidden="false" customHeight="false" outlineLevel="0" collapsed="false">
      <c r="A8" s="74" t="s">
        <v>4251</v>
      </c>
      <c r="B8" s="75" t="s">
        <v>4252</v>
      </c>
      <c r="C8" s="76" t="s">
        <v>4253</v>
      </c>
      <c r="D8" s="77" t="s">
        <v>4254</v>
      </c>
      <c r="E8" s="76" t="s">
        <v>4255</v>
      </c>
      <c r="F8" s="77" t="s">
        <v>4256</v>
      </c>
      <c r="G8" s="76" t="s">
        <v>4257</v>
      </c>
      <c r="H8" s="77" t="s">
        <v>4258</v>
      </c>
      <c r="I8" s="77" t="s">
        <v>4259</v>
      </c>
    </row>
    <row r="9" customFormat="false" ht="23.85" hidden="false" customHeight="false" outlineLevel="0" collapsed="false">
      <c r="A9" s="74" t="s">
        <v>4260</v>
      </c>
      <c r="B9" s="75" t="s">
        <v>4261</v>
      </c>
      <c r="C9" s="76" t="s">
        <v>4262</v>
      </c>
      <c r="D9" s="77" t="s">
        <v>4263</v>
      </c>
      <c r="E9" s="76" t="s">
        <v>4264</v>
      </c>
      <c r="F9" s="77" t="s">
        <v>4265</v>
      </c>
      <c r="G9" s="76" t="s">
        <v>4266</v>
      </c>
      <c r="H9" s="77" t="s">
        <v>4267</v>
      </c>
      <c r="I9" s="77" t="s">
        <v>4268</v>
      </c>
    </row>
    <row r="10" customFormat="false" ht="23.85" hidden="false" customHeight="false" outlineLevel="0" collapsed="false">
      <c r="A10" s="74" t="s">
        <v>304</v>
      </c>
      <c r="B10" s="75" t="s">
        <v>4269</v>
      </c>
      <c r="C10" s="76" t="s">
        <v>4270</v>
      </c>
      <c r="D10" s="77" t="s">
        <v>4271</v>
      </c>
      <c r="E10" s="76" t="s">
        <v>4272</v>
      </c>
      <c r="F10" s="77" t="s">
        <v>4273</v>
      </c>
      <c r="G10" s="76" t="s">
        <v>4274</v>
      </c>
      <c r="H10" s="77" t="s">
        <v>4275</v>
      </c>
      <c r="I10" s="77" t="s">
        <v>4276</v>
      </c>
    </row>
    <row r="11" customFormat="false" ht="23.85" hidden="false" customHeight="false" outlineLevel="0" collapsed="false">
      <c r="A11" s="74" t="s">
        <v>554</v>
      </c>
      <c r="B11" s="75" t="s">
        <v>4277</v>
      </c>
      <c r="C11" s="76" t="s">
        <v>4278</v>
      </c>
      <c r="D11" s="77" t="s">
        <v>4279</v>
      </c>
      <c r="E11" s="76" t="s">
        <v>4280</v>
      </c>
      <c r="F11" s="77" t="s">
        <v>4281</v>
      </c>
      <c r="G11" s="76" t="s">
        <v>4282</v>
      </c>
      <c r="H11" s="77" t="s">
        <v>4283</v>
      </c>
      <c r="I11" s="77" t="s">
        <v>4284</v>
      </c>
    </row>
    <row r="12" customFormat="false" ht="23.85" hidden="false" customHeight="false" outlineLevel="0" collapsed="false">
      <c r="A12" s="74" t="s">
        <v>573</v>
      </c>
      <c r="B12" s="75" t="s">
        <v>4285</v>
      </c>
      <c r="C12" s="76" t="s">
        <v>4286</v>
      </c>
      <c r="D12" s="77" t="s">
        <v>4287</v>
      </c>
      <c r="E12" s="76" t="s">
        <v>4288</v>
      </c>
      <c r="F12" s="77" t="s">
        <v>4289</v>
      </c>
      <c r="G12" s="76" t="s">
        <v>4290</v>
      </c>
      <c r="H12" s="77" t="s">
        <v>4291</v>
      </c>
      <c r="I12" s="77" t="s">
        <v>4292</v>
      </c>
    </row>
    <row r="13" customFormat="false" ht="23.85" hidden="false" customHeight="false" outlineLevel="0" collapsed="false">
      <c r="A13" s="74" t="s">
        <v>1059</v>
      </c>
      <c r="B13" s="75" t="s">
        <v>4293</v>
      </c>
      <c r="C13" s="76" t="s">
        <v>4294</v>
      </c>
      <c r="D13" s="77" t="s">
        <v>4295</v>
      </c>
      <c r="E13" s="76" t="s">
        <v>4296</v>
      </c>
      <c r="F13" s="77" t="s">
        <v>4297</v>
      </c>
      <c r="G13" s="76" t="s">
        <v>4298</v>
      </c>
      <c r="H13" s="77" t="s">
        <v>4299</v>
      </c>
      <c r="I13" s="77" t="s">
        <v>4300</v>
      </c>
    </row>
    <row r="14" customFormat="false" ht="23.85" hidden="false" customHeight="false" outlineLevel="0" collapsed="false">
      <c r="A14" s="74" t="s">
        <v>4301</v>
      </c>
      <c r="B14" s="75" t="s">
        <v>4302</v>
      </c>
      <c r="C14" s="76" t="s">
        <v>4303</v>
      </c>
      <c r="D14" s="77" t="s">
        <v>4304</v>
      </c>
      <c r="E14" s="76" t="s">
        <v>4305</v>
      </c>
      <c r="F14" s="77" t="s">
        <v>4306</v>
      </c>
      <c r="G14" s="76" t="s">
        <v>4307</v>
      </c>
      <c r="H14" s="77" t="s">
        <v>4308</v>
      </c>
      <c r="I14" s="77" t="s">
        <v>4309</v>
      </c>
    </row>
    <row r="15" customFormat="false" ht="23.85" hidden="false" customHeight="false" outlineLevel="0" collapsed="false">
      <c r="A15" s="74" t="s">
        <v>1370</v>
      </c>
      <c r="B15" s="75" t="s">
        <v>4310</v>
      </c>
      <c r="C15" s="76" t="s">
        <v>4311</v>
      </c>
      <c r="D15" s="77" t="s">
        <v>4312</v>
      </c>
      <c r="E15" s="76" t="s">
        <v>4313</v>
      </c>
      <c r="F15" s="77" t="s">
        <v>4314</v>
      </c>
      <c r="G15" s="76" t="s">
        <v>4315</v>
      </c>
      <c r="H15" s="77" t="s">
        <v>4316</v>
      </c>
      <c r="I15" s="77" t="s">
        <v>4317</v>
      </c>
    </row>
    <row r="16" customFormat="false" ht="23.85" hidden="false" customHeight="false" outlineLevel="0" collapsed="false">
      <c r="A16" s="74" t="s">
        <v>1789</v>
      </c>
      <c r="B16" s="75" t="s">
        <v>4318</v>
      </c>
      <c r="C16" s="76" t="s">
        <v>4319</v>
      </c>
      <c r="D16" s="77" t="s">
        <v>4320</v>
      </c>
      <c r="E16" s="76" t="s">
        <v>4321</v>
      </c>
      <c r="F16" s="77" t="s">
        <v>4322</v>
      </c>
      <c r="G16" s="76" t="s">
        <v>4323</v>
      </c>
      <c r="H16" s="77" t="s">
        <v>4324</v>
      </c>
      <c r="I16" s="77" t="s">
        <v>4325</v>
      </c>
    </row>
    <row r="17" customFormat="false" ht="23.85" hidden="false" customHeight="false" outlineLevel="0" collapsed="false">
      <c r="A17" s="74" t="s">
        <v>4326</v>
      </c>
      <c r="B17" s="75" t="s">
        <v>4327</v>
      </c>
      <c r="C17" s="76" t="s">
        <v>4328</v>
      </c>
      <c r="D17" s="77" t="s">
        <v>4329</v>
      </c>
      <c r="E17" s="76" t="s">
        <v>4330</v>
      </c>
      <c r="F17" s="77" t="s">
        <v>4331</v>
      </c>
      <c r="G17" s="76" t="s">
        <v>4332</v>
      </c>
      <c r="H17" s="77" t="s">
        <v>4164</v>
      </c>
      <c r="I17" s="77" t="s">
        <v>4165</v>
      </c>
    </row>
    <row r="18" customFormat="false" ht="23.85" hidden="false" customHeight="false" outlineLevel="0" collapsed="false">
      <c r="A18" s="74" t="s">
        <v>3247</v>
      </c>
      <c r="B18" s="75" t="s">
        <v>4333</v>
      </c>
      <c r="C18" s="76" t="s">
        <v>4334</v>
      </c>
      <c r="D18" s="77" t="s">
        <v>4335</v>
      </c>
      <c r="E18" s="76" t="s">
        <v>4336</v>
      </c>
      <c r="F18" s="77" t="s">
        <v>4337</v>
      </c>
      <c r="G18" s="76" t="s">
        <v>4338</v>
      </c>
      <c r="H18" s="77" t="s">
        <v>4339</v>
      </c>
      <c r="I18" s="77" t="s">
        <v>4340</v>
      </c>
    </row>
    <row r="19" customFormat="false" ht="23.85" hidden="false" customHeight="false" outlineLevel="0" collapsed="false">
      <c r="A19" s="74" t="s">
        <v>4341</v>
      </c>
      <c r="B19" s="75" t="s">
        <v>4342</v>
      </c>
      <c r="C19" s="76" t="s">
        <v>4343</v>
      </c>
      <c r="D19" s="77" t="s">
        <v>4344</v>
      </c>
      <c r="E19" s="76" t="s">
        <v>4345</v>
      </c>
      <c r="F19" s="77" t="s">
        <v>4346</v>
      </c>
      <c r="G19" s="76" t="s">
        <v>4347</v>
      </c>
      <c r="H19" s="77" t="s">
        <v>4348</v>
      </c>
      <c r="I19" s="77" t="s">
        <v>4349</v>
      </c>
    </row>
  </sheetData>
  <autoFilter ref="A4:I19"/>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62"/>
    <col collapsed="false" customWidth="true" hidden="false" outlineLevel="0" max="3" min="3" style="0" width="16"/>
    <col collapsed="false" customWidth="true" hidden="false" outlineLevel="0" max="5" min="4" style="0" width="52"/>
  </cols>
  <sheetData>
    <row r="1" customFormat="false" ht="17.15" hidden="false" customHeight="false" outlineLevel="0" collapsed="false">
      <c r="A1" s="1" t="s">
        <v>4350</v>
      </c>
      <c r="B1" s="1"/>
      <c r="C1" s="1"/>
      <c r="D1" s="1"/>
      <c r="E1" s="1"/>
    </row>
    <row r="2" customFormat="false" ht="15" hidden="false" customHeight="false" outlineLevel="0" collapsed="false">
      <c r="A2" s="2" t="s">
        <v>4351</v>
      </c>
      <c r="B2" s="2"/>
      <c r="C2" s="2"/>
      <c r="D2" s="2"/>
      <c r="E2" s="2"/>
    </row>
    <row r="4" customFormat="false" ht="30" hidden="false" customHeight="true" outlineLevel="0" collapsed="false">
      <c r="A4" s="3" t="s">
        <v>82</v>
      </c>
      <c r="B4" s="3" t="s">
        <v>4352</v>
      </c>
      <c r="C4" s="3" t="s">
        <v>4353</v>
      </c>
      <c r="D4" s="3" t="s">
        <v>4354</v>
      </c>
      <c r="E4" s="3" t="s">
        <v>4355</v>
      </c>
    </row>
    <row r="5" customFormat="false" ht="23.85" hidden="false" customHeight="false" outlineLevel="0" collapsed="false">
      <c r="A5" s="75" t="s">
        <v>4356</v>
      </c>
      <c r="B5" s="81" t="s">
        <v>132</v>
      </c>
      <c r="C5" s="74" t="n">
        <f aca="false">COUNTIF('All Terms'!$Q$5:$Q$436,"*Productivity*")</f>
        <v>298</v>
      </c>
      <c r="D5" s="77" t="s">
        <v>4357</v>
      </c>
      <c r="E5" s="77" t="s">
        <v>4358</v>
      </c>
    </row>
    <row r="6" customFormat="false" ht="23.85" hidden="false" customHeight="false" outlineLevel="0" collapsed="false">
      <c r="A6" s="75" t="s">
        <v>4359</v>
      </c>
      <c r="B6" s="81" t="s">
        <v>517</v>
      </c>
      <c r="C6" s="74" t="n">
        <f aca="false">COUNTIF('All Terms'!$Q$5:$Q$436,"*Engineers Universe*")</f>
        <v>74</v>
      </c>
      <c r="D6" s="77" t="s">
        <v>4360</v>
      </c>
      <c r="E6" s="77" t="s">
        <v>4361</v>
      </c>
    </row>
    <row r="7" customFormat="false" ht="23.85" hidden="false" customHeight="false" outlineLevel="0" collapsed="false">
      <c r="A7" s="75" t="s">
        <v>4362</v>
      </c>
      <c r="B7" s="81" t="s">
        <v>97</v>
      </c>
      <c r="C7" s="74" t="n">
        <f aca="false">COUNTIF('All Terms'!$Q$5:$Q$436,"*FutureLearn*")</f>
        <v>120</v>
      </c>
      <c r="D7" s="77" t="s">
        <v>4363</v>
      </c>
      <c r="E7" s="77" t="s">
        <v>4364</v>
      </c>
    </row>
    <row r="9" customFormat="false" ht="15" hidden="false" customHeight="false" outlineLevel="0" collapsed="false">
      <c r="A9" s="82" t="s">
        <v>4365</v>
      </c>
    </row>
    <row r="10" customFormat="false" ht="30" hidden="false" customHeight="true" outlineLevel="0" collapsed="false">
      <c r="A10" s="83" t="s">
        <v>4366</v>
      </c>
      <c r="B10" s="83"/>
      <c r="C10" s="83"/>
      <c r="D10" s="83"/>
      <c r="E10" s="83"/>
    </row>
    <row r="11" customFormat="false" ht="30" hidden="false" customHeight="true" outlineLevel="0" collapsed="false">
      <c r="A11" s="83" t="s">
        <v>4367</v>
      </c>
      <c r="B11" s="83"/>
      <c r="C11" s="83"/>
      <c r="D11" s="83"/>
      <c r="E11" s="83"/>
    </row>
    <row r="12" customFormat="false" ht="30" hidden="false" customHeight="true" outlineLevel="0" collapsed="false">
      <c r="A12" s="83" t="s">
        <v>4368</v>
      </c>
      <c r="B12" s="83"/>
      <c r="C12" s="83"/>
      <c r="D12" s="83"/>
      <c r="E12" s="83"/>
    </row>
    <row r="13" customFormat="false" ht="30" hidden="false" customHeight="true" outlineLevel="0" collapsed="false">
      <c r="A13" s="83" t="s">
        <v>4369</v>
      </c>
      <c r="B13" s="83"/>
      <c r="C13" s="83"/>
      <c r="D13" s="83"/>
      <c r="E13" s="83"/>
    </row>
    <row r="14" customFormat="false" ht="30" hidden="false" customHeight="true" outlineLevel="0" collapsed="false">
      <c r="A14" s="83" t="s">
        <v>4370</v>
      </c>
      <c r="B14" s="83"/>
      <c r="C14" s="83"/>
      <c r="D14" s="83"/>
      <c r="E14" s="83"/>
    </row>
  </sheetData>
  <mergeCells count="7">
    <mergeCell ref="A1:E1"/>
    <mergeCell ref="A2:E2"/>
    <mergeCell ref="A10:E10"/>
    <mergeCell ref="A11:E11"/>
    <mergeCell ref="A12:E12"/>
    <mergeCell ref="A13:E13"/>
    <mergeCell ref="A14:E14"/>
  </mergeCells>
  <hyperlinks>
    <hyperlink ref="B5" r:id="rId1" display="https://www.productivity.com/wp-content/uploads/2015/04/PI_RoboticGlossaryTerms.pdf"/>
    <hyperlink ref="B6" r:id="rId2" display="https://engineersuniverse.com/studios/mechatronics/mechatronics-terminology-glossary"/>
    <hyperlink ref="B7" r:id="rId3" display="https://ugc.futurelearn.com/uploads/files/7a/0f/7a0fcf86-09f0-4ebf-a134-02b1290a950e/Glossary.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2026-10-19T04:28:03Z</dcterms:created>
  <dc:creator>openpyxl</dc:creator>
  <dc:description/>
  <dc:language>en-US</dc:language>
  <cp:lastModifiedBy/>
  <dcterms:modified xsi:type="dcterms:W3CDTF">2026-10-19T04:28:04Z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